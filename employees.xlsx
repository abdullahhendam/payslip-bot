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CH TEX HR\bot\"/>
    </mc:Choice>
  </mc:AlternateContent>
  <xr:revisionPtr revIDLastSave="0" documentId="13_ncr:1_{224A9452-A475-4F46-9682-32DDA7867E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بيانات" sheetId="1" r:id="rId1"/>
  </sheets>
  <externalReferences>
    <externalReference r:id="rId2"/>
    <externalReference r:id="rId3"/>
  </externalReferences>
  <definedNames>
    <definedName name="_xlnm._FilterDatabase" localSheetId="0" hidden="1">البيانات!#REF!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57" i="1" l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86" i="1"/>
  <c r="R85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N9" i="1"/>
  <c r="N8" i="1"/>
  <c r="M9" i="1"/>
  <c r="M8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8" i="1"/>
  <c r="Q9" i="1"/>
  <c r="Q10" i="1"/>
  <c r="Q11" i="1"/>
  <c r="Q12" i="1"/>
  <c r="Q13" i="1"/>
  <c r="Q14" i="1"/>
  <c r="Q7" i="1"/>
</calcChain>
</file>

<file path=xl/sharedStrings.xml><?xml version="1.0" encoding="utf-8"?>
<sst xmlns="http://schemas.openxmlformats.org/spreadsheetml/2006/main" count="8" uniqueCount="8">
  <si>
    <t>م</t>
  </si>
  <si>
    <t>الكود</t>
  </si>
  <si>
    <t>الاسم</t>
  </si>
  <si>
    <t>رقم الموبايل</t>
  </si>
  <si>
    <t>ر. البطاقة</t>
  </si>
  <si>
    <t>الراتب</t>
  </si>
  <si>
    <t>الرقم السري</t>
  </si>
  <si>
    <t>القسم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</si>
</sst>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" fontId="3" fillId="3" borderId="5" xfId="1" applyNumberFormat="1" applyFont="1" applyFill="1" applyBorder="1" applyAlignment="1">
      <alignment horizontal="center" vertic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1" fontId="3" fillId="3" borderId="8" xfId="1" applyNumberFormat="1" applyFon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15D7C78-0B12-4242-801F-736C4E1FCA0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5;&#1608;&#1575;&#1578;&#1576;%20&#1587;&#1576;&#1578;&#1605;&#1576;&#1585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5;&#1608;&#1575;&#1578;&#157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رواتب"/>
      <sheetName val="الاظرف"/>
      <sheetName val="sheet"/>
      <sheetName val="رواتب البنجالة"/>
      <sheetName val="Sheet2"/>
    </sheetNames>
    <sheetDataSet>
      <sheetData sheetId="0">
        <row r="1">
          <cell r="B1"/>
          <cell r="S1"/>
        </row>
        <row r="2">
          <cell r="B2"/>
          <cell r="S2"/>
        </row>
        <row r="3">
          <cell r="B3"/>
          <cell r="S3"/>
        </row>
        <row r="4">
          <cell r="B4"/>
          <cell r="S4"/>
        </row>
        <row r="5">
          <cell r="B5" t="str">
            <v>الكود</v>
          </cell>
          <cell r="S5" t="str">
            <v>إجمالي الاستحقاقات</v>
          </cell>
        </row>
        <row r="6">
          <cell r="B6"/>
          <cell r="S6"/>
        </row>
        <row r="7">
          <cell r="B7"/>
          <cell r="S7"/>
        </row>
        <row r="8">
          <cell r="B8">
            <v>1000</v>
          </cell>
          <cell r="S8">
            <v>0</v>
          </cell>
        </row>
        <row r="9">
          <cell r="B9">
            <v>2596</v>
          </cell>
          <cell r="S9">
            <v>11000</v>
          </cell>
        </row>
        <row r="10">
          <cell r="B10">
            <v>2375</v>
          </cell>
          <cell r="S10">
            <v>15000</v>
          </cell>
        </row>
        <row r="11">
          <cell r="B11">
            <v>3070</v>
          </cell>
          <cell r="S11">
            <v>4000</v>
          </cell>
        </row>
        <row r="12">
          <cell r="B12">
            <v>3306</v>
          </cell>
          <cell r="S12">
            <v>5500</v>
          </cell>
        </row>
        <row r="13">
          <cell r="B13">
            <v>1003</v>
          </cell>
          <cell r="S13">
            <v>15000</v>
          </cell>
        </row>
        <row r="14">
          <cell r="B14">
            <v>10005</v>
          </cell>
          <cell r="S14">
            <v>10000</v>
          </cell>
        </row>
        <row r="15">
          <cell r="B15">
            <v>2078</v>
          </cell>
          <cell r="S15">
            <v>7000</v>
          </cell>
        </row>
        <row r="16">
          <cell r="B16">
            <v>3071</v>
          </cell>
          <cell r="S16">
            <v>4400</v>
          </cell>
        </row>
        <row r="17">
          <cell r="B17">
            <v>1006</v>
          </cell>
          <cell r="S17">
            <v>11000</v>
          </cell>
        </row>
        <row r="18">
          <cell r="B18">
            <v>0</v>
          </cell>
          <cell r="S18">
            <v>0</v>
          </cell>
        </row>
        <row r="19">
          <cell r="B19">
            <v>2470</v>
          </cell>
          <cell r="S19">
            <v>8000</v>
          </cell>
        </row>
        <row r="20">
          <cell r="B20">
            <v>3072</v>
          </cell>
          <cell r="S20">
            <v>5500</v>
          </cell>
        </row>
        <row r="21">
          <cell r="B21">
            <v>1014</v>
          </cell>
          <cell r="S21">
            <v>6400</v>
          </cell>
        </row>
        <row r="22">
          <cell r="B22">
            <v>2571</v>
          </cell>
          <cell r="S22">
            <v>5600</v>
          </cell>
        </row>
        <row r="23">
          <cell r="B23">
            <v>2574</v>
          </cell>
          <cell r="S23">
            <v>4400</v>
          </cell>
        </row>
        <row r="24">
          <cell r="B24">
            <v>1012</v>
          </cell>
          <cell r="S24">
            <v>4400</v>
          </cell>
        </row>
        <row r="25">
          <cell r="B25">
            <v>1011</v>
          </cell>
          <cell r="S25">
            <v>4200</v>
          </cell>
        </row>
        <row r="26">
          <cell r="B26">
            <v>1015</v>
          </cell>
          <cell r="S26">
            <v>4400</v>
          </cell>
        </row>
        <row r="27">
          <cell r="B27">
            <v>1016</v>
          </cell>
          <cell r="S27">
            <v>4600</v>
          </cell>
        </row>
        <row r="28">
          <cell r="B28">
            <v>2482</v>
          </cell>
          <cell r="S28">
            <v>4500</v>
          </cell>
        </row>
        <row r="29">
          <cell r="B29">
            <v>2079</v>
          </cell>
          <cell r="S29">
            <v>4400</v>
          </cell>
        </row>
        <row r="30">
          <cell r="B30">
            <v>3492</v>
          </cell>
          <cell r="S30">
            <v>15000</v>
          </cell>
        </row>
        <row r="31">
          <cell r="B31">
            <v>3473</v>
          </cell>
          <cell r="S31">
            <v>5000</v>
          </cell>
        </row>
        <row r="32">
          <cell r="B32">
            <v>3253</v>
          </cell>
          <cell r="S32">
            <v>4600</v>
          </cell>
        </row>
        <row r="33">
          <cell r="B33">
            <v>3020</v>
          </cell>
          <cell r="S33">
            <v>5000</v>
          </cell>
        </row>
        <row r="34">
          <cell r="B34">
            <v>2206</v>
          </cell>
          <cell r="S34">
            <v>8000</v>
          </cell>
        </row>
        <row r="35">
          <cell r="B35">
            <v>3076</v>
          </cell>
          <cell r="S35">
            <v>5500</v>
          </cell>
        </row>
        <row r="36">
          <cell r="B36">
            <v>3127</v>
          </cell>
          <cell r="S36">
            <v>4500</v>
          </cell>
        </row>
        <row r="37">
          <cell r="B37">
            <v>0</v>
          </cell>
          <cell r="S37">
            <v>0</v>
          </cell>
        </row>
        <row r="38">
          <cell r="B38">
            <v>3598</v>
          </cell>
          <cell r="S38">
            <v>6000</v>
          </cell>
        </row>
        <row r="39">
          <cell r="B39">
            <v>3445</v>
          </cell>
          <cell r="S39">
            <v>4500</v>
          </cell>
        </row>
        <row r="40">
          <cell r="B40">
            <v>2247</v>
          </cell>
          <cell r="S40">
            <v>10000</v>
          </cell>
        </row>
        <row r="41">
          <cell r="B41">
            <v>3409</v>
          </cell>
          <cell r="S41">
            <v>4500</v>
          </cell>
        </row>
        <row r="42">
          <cell r="B42">
            <v>0</v>
          </cell>
          <cell r="S42">
            <v>0</v>
          </cell>
        </row>
        <row r="43">
          <cell r="B43">
            <v>2076</v>
          </cell>
          <cell r="S43">
            <v>7400</v>
          </cell>
        </row>
        <row r="44">
          <cell r="B44">
            <v>3383</v>
          </cell>
          <cell r="S44">
            <v>4000</v>
          </cell>
        </row>
        <row r="45">
          <cell r="B45">
            <v>3023</v>
          </cell>
          <cell r="S45">
            <v>4500</v>
          </cell>
        </row>
        <row r="46">
          <cell r="B46">
            <v>3036</v>
          </cell>
          <cell r="S46">
            <v>5500</v>
          </cell>
        </row>
        <row r="47">
          <cell r="B47">
            <v>1004</v>
          </cell>
          <cell r="S47">
            <v>9000</v>
          </cell>
        </row>
        <row r="48">
          <cell r="B48">
            <v>3255</v>
          </cell>
          <cell r="S48">
            <v>4450</v>
          </cell>
        </row>
        <row r="49">
          <cell r="B49">
            <v>3599</v>
          </cell>
          <cell r="S49">
            <v>6000</v>
          </cell>
        </row>
        <row r="50">
          <cell r="B50">
            <v>2174</v>
          </cell>
          <cell r="S50">
            <v>13000</v>
          </cell>
        </row>
        <row r="51">
          <cell r="B51">
            <v>2166</v>
          </cell>
          <cell r="S51">
            <v>7500</v>
          </cell>
        </row>
        <row r="52">
          <cell r="B52">
            <v>2205</v>
          </cell>
          <cell r="S52">
            <v>6000</v>
          </cell>
        </row>
        <row r="53">
          <cell r="B53">
            <v>3600</v>
          </cell>
          <cell r="S53">
            <v>4000</v>
          </cell>
        </row>
        <row r="54">
          <cell r="B54">
            <v>3572</v>
          </cell>
          <cell r="S54">
            <v>6000</v>
          </cell>
        </row>
        <row r="55">
          <cell r="B55">
            <v>3579</v>
          </cell>
          <cell r="S55">
            <v>5000</v>
          </cell>
        </row>
        <row r="56">
          <cell r="B56">
            <v>2741</v>
          </cell>
          <cell r="S56">
            <v>6800</v>
          </cell>
        </row>
        <row r="57">
          <cell r="B57">
            <v>1057</v>
          </cell>
          <cell r="S57">
            <v>10000</v>
          </cell>
        </row>
        <row r="58">
          <cell r="B58">
            <v>1058</v>
          </cell>
          <cell r="S58">
            <v>9000</v>
          </cell>
        </row>
        <row r="59">
          <cell r="B59">
            <v>3283</v>
          </cell>
          <cell r="S59">
            <v>4000</v>
          </cell>
        </row>
        <row r="60">
          <cell r="B60">
            <v>3038</v>
          </cell>
          <cell r="S60">
            <v>6500</v>
          </cell>
        </row>
        <row r="61">
          <cell r="B61">
            <v>2504</v>
          </cell>
          <cell r="S61">
            <v>7500</v>
          </cell>
        </row>
        <row r="62">
          <cell r="B62">
            <v>35</v>
          </cell>
          <cell r="S62">
            <v>6000</v>
          </cell>
        </row>
        <row r="63">
          <cell r="B63">
            <v>2463</v>
          </cell>
          <cell r="S63">
            <v>6000</v>
          </cell>
        </row>
        <row r="64">
          <cell r="B64">
            <v>3284</v>
          </cell>
          <cell r="S64">
            <v>3800</v>
          </cell>
        </row>
        <row r="65">
          <cell r="B65">
            <v>2626</v>
          </cell>
          <cell r="S65">
            <v>6500</v>
          </cell>
        </row>
        <row r="66">
          <cell r="B66">
            <v>3578</v>
          </cell>
          <cell r="S66">
            <v>10000</v>
          </cell>
        </row>
        <row r="67">
          <cell r="B67">
            <v>2461</v>
          </cell>
          <cell r="S67">
            <v>5500</v>
          </cell>
        </row>
        <row r="68">
          <cell r="B68">
            <v>3007</v>
          </cell>
          <cell r="S68">
            <v>4100</v>
          </cell>
        </row>
        <row r="69">
          <cell r="B69">
            <v>3194</v>
          </cell>
          <cell r="S69">
            <v>4800</v>
          </cell>
        </row>
        <row r="70">
          <cell r="B70">
            <v>3601</v>
          </cell>
          <cell r="S70">
            <v>3500</v>
          </cell>
        </row>
        <row r="71">
          <cell r="B71">
            <v>3112</v>
          </cell>
          <cell r="S71">
            <v>7200</v>
          </cell>
        </row>
        <row r="72">
          <cell r="B72">
            <v>3602</v>
          </cell>
          <cell r="S72">
            <v>3500</v>
          </cell>
        </row>
        <row r="73">
          <cell r="B73">
            <v>2217</v>
          </cell>
          <cell r="S73">
            <v>6500</v>
          </cell>
        </row>
        <row r="74">
          <cell r="B74">
            <v>3275</v>
          </cell>
          <cell r="S74">
            <v>4500</v>
          </cell>
        </row>
        <row r="75">
          <cell r="B75">
            <v>2717</v>
          </cell>
          <cell r="S75">
            <v>3700</v>
          </cell>
        </row>
        <row r="76">
          <cell r="B76">
            <v>3217</v>
          </cell>
          <cell r="S76">
            <v>5000</v>
          </cell>
        </row>
        <row r="77">
          <cell r="B77">
            <v>3559</v>
          </cell>
          <cell r="S77">
            <v>5650</v>
          </cell>
        </row>
        <row r="78">
          <cell r="B78">
            <v>2635</v>
          </cell>
          <cell r="S78">
            <v>4450</v>
          </cell>
        </row>
        <row r="79">
          <cell r="B79">
            <v>1020</v>
          </cell>
          <cell r="S79">
            <v>9000</v>
          </cell>
        </row>
        <row r="80">
          <cell r="B80">
            <v>2188</v>
          </cell>
          <cell r="S80">
            <v>6000</v>
          </cell>
        </row>
        <row r="81">
          <cell r="B81">
            <v>2594</v>
          </cell>
          <cell r="S81">
            <v>6500</v>
          </cell>
        </row>
        <row r="82">
          <cell r="B82">
            <v>0</v>
          </cell>
          <cell r="S82">
            <v>0</v>
          </cell>
        </row>
        <row r="83">
          <cell r="B83">
            <v>2650</v>
          </cell>
          <cell r="S83">
            <v>6000</v>
          </cell>
        </row>
        <row r="84">
          <cell r="B84">
            <v>3286</v>
          </cell>
          <cell r="S84">
            <v>6500</v>
          </cell>
        </row>
        <row r="85">
          <cell r="B85">
            <v>3288</v>
          </cell>
          <cell r="S85">
            <v>6200</v>
          </cell>
        </row>
        <row r="86">
          <cell r="B86">
            <v>2125</v>
          </cell>
          <cell r="S86">
            <v>7500</v>
          </cell>
        </row>
        <row r="87">
          <cell r="B87">
            <v>2265</v>
          </cell>
          <cell r="S87">
            <v>9000</v>
          </cell>
        </row>
        <row r="88">
          <cell r="B88">
            <v>2562</v>
          </cell>
          <cell r="S88">
            <v>6000</v>
          </cell>
        </row>
        <row r="89">
          <cell r="B89">
            <v>3118</v>
          </cell>
          <cell r="S89">
            <v>4400</v>
          </cell>
        </row>
        <row r="90">
          <cell r="B90">
            <v>3034</v>
          </cell>
          <cell r="S90">
            <v>4000</v>
          </cell>
        </row>
        <row r="91">
          <cell r="B91">
            <v>3558</v>
          </cell>
          <cell r="S91">
            <v>5650</v>
          </cell>
        </row>
        <row r="92">
          <cell r="B92">
            <v>3604</v>
          </cell>
          <cell r="S92">
            <v>6000</v>
          </cell>
        </row>
        <row r="93">
          <cell r="B93">
            <v>2756</v>
          </cell>
          <cell r="S93">
            <v>4500</v>
          </cell>
        </row>
        <row r="94">
          <cell r="B94">
            <v>3481</v>
          </cell>
          <cell r="S94">
            <v>4500</v>
          </cell>
        </row>
        <row r="95">
          <cell r="B95">
            <v>3231</v>
          </cell>
          <cell r="S95">
            <v>6000</v>
          </cell>
        </row>
        <row r="96">
          <cell r="B96">
            <v>3418</v>
          </cell>
          <cell r="S96">
            <v>4500</v>
          </cell>
        </row>
        <row r="97">
          <cell r="B97">
            <v>1042</v>
          </cell>
          <cell r="S97">
            <v>6000</v>
          </cell>
        </row>
        <row r="98">
          <cell r="B98">
            <v>3212</v>
          </cell>
          <cell r="S98">
            <v>7500</v>
          </cell>
        </row>
        <row r="99">
          <cell r="B99">
            <v>2677</v>
          </cell>
          <cell r="S99">
            <v>5500</v>
          </cell>
        </row>
        <row r="100">
          <cell r="B100">
            <v>0</v>
          </cell>
          <cell r="S100">
            <v>0</v>
          </cell>
        </row>
        <row r="101">
          <cell r="B101">
            <v>0</v>
          </cell>
          <cell r="S101">
            <v>0</v>
          </cell>
        </row>
        <row r="102">
          <cell r="B102">
            <v>3483</v>
          </cell>
          <cell r="S102">
            <v>6000</v>
          </cell>
        </row>
        <row r="103">
          <cell r="B103">
            <v>2041</v>
          </cell>
          <cell r="S103">
            <v>8500</v>
          </cell>
        </row>
        <row r="104">
          <cell r="B104">
            <v>3482</v>
          </cell>
          <cell r="S104">
            <v>15000</v>
          </cell>
        </row>
        <row r="105">
          <cell r="B105">
            <v>2553</v>
          </cell>
          <cell r="S105">
            <v>5000</v>
          </cell>
        </row>
        <row r="106">
          <cell r="B106">
            <v>3082</v>
          </cell>
          <cell r="S106">
            <v>3500</v>
          </cell>
        </row>
        <row r="107">
          <cell r="B107">
            <v>3557</v>
          </cell>
          <cell r="S107">
            <v>4000</v>
          </cell>
        </row>
        <row r="108">
          <cell r="B108">
            <v>1062</v>
          </cell>
          <cell r="S108">
            <v>10000</v>
          </cell>
        </row>
        <row r="109">
          <cell r="B109">
            <v>3311</v>
          </cell>
          <cell r="S109">
            <v>5500</v>
          </cell>
        </row>
        <row r="110">
          <cell r="B110">
            <v>3391</v>
          </cell>
          <cell r="S110">
            <v>11000</v>
          </cell>
        </row>
        <row r="111">
          <cell r="B111">
            <v>2238</v>
          </cell>
          <cell r="S111">
            <v>7000</v>
          </cell>
        </row>
        <row r="112">
          <cell r="B112">
            <v>27</v>
          </cell>
          <cell r="S112">
            <v>6500</v>
          </cell>
        </row>
        <row r="113">
          <cell r="B113">
            <v>33</v>
          </cell>
          <cell r="S113">
            <v>6500</v>
          </cell>
        </row>
        <row r="114">
          <cell r="B114">
            <v>2250</v>
          </cell>
          <cell r="S114">
            <v>6500</v>
          </cell>
        </row>
        <row r="115">
          <cell r="B115">
            <v>3121</v>
          </cell>
          <cell r="S115">
            <v>4000</v>
          </cell>
        </row>
        <row r="116">
          <cell r="B116">
            <v>3179</v>
          </cell>
          <cell r="S116">
            <v>4000</v>
          </cell>
        </row>
        <row r="117">
          <cell r="B117">
            <v>2220</v>
          </cell>
          <cell r="S117">
            <v>6500</v>
          </cell>
        </row>
        <row r="118">
          <cell r="B118">
            <v>3555</v>
          </cell>
          <cell r="S118">
            <v>4000</v>
          </cell>
        </row>
        <row r="119">
          <cell r="B119">
            <v>1068</v>
          </cell>
          <cell r="S119">
            <v>7000</v>
          </cell>
        </row>
        <row r="120">
          <cell r="B120">
            <v>1067</v>
          </cell>
          <cell r="S120">
            <v>4000</v>
          </cell>
        </row>
        <row r="121">
          <cell r="B121">
            <v>2248</v>
          </cell>
          <cell r="S121">
            <v>9000</v>
          </cell>
        </row>
        <row r="122">
          <cell r="B122">
            <v>2023</v>
          </cell>
          <cell r="S122">
            <v>7000</v>
          </cell>
        </row>
        <row r="123">
          <cell r="B123">
            <v>3310</v>
          </cell>
          <cell r="S123">
            <v>6000</v>
          </cell>
        </row>
        <row r="124">
          <cell r="B124">
            <v>0</v>
          </cell>
          <cell r="S124">
            <v>0</v>
          </cell>
        </row>
        <row r="125">
          <cell r="B125">
            <v>3446</v>
          </cell>
          <cell r="S125">
            <v>3500</v>
          </cell>
        </row>
        <row r="126">
          <cell r="B126">
            <v>2422</v>
          </cell>
          <cell r="S126">
            <v>7500</v>
          </cell>
        </row>
        <row r="127">
          <cell r="B127">
            <v>1082</v>
          </cell>
          <cell r="S127">
            <v>8500</v>
          </cell>
        </row>
        <row r="128">
          <cell r="B128">
            <v>3312</v>
          </cell>
          <cell r="S128">
            <v>7000</v>
          </cell>
        </row>
        <row r="129">
          <cell r="B129">
            <v>2038</v>
          </cell>
          <cell r="S129">
            <v>6800</v>
          </cell>
        </row>
        <row r="130">
          <cell r="B130">
            <v>3198</v>
          </cell>
          <cell r="S130">
            <v>8500</v>
          </cell>
        </row>
        <row r="131">
          <cell r="B131">
            <v>2271</v>
          </cell>
          <cell r="S131">
            <v>4000</v>
          </cell>
        </row>
        <row r="132">
          <cell r="B132">
            <v>2728</v>
          </cell>
          <cell r="S132">
            <v>4000</v>
          </cell>
        </row>
        <row r="133">
          <cell r="B133">
            <v>3180</v>
          </cell>
          <cell r="S133">
            <v>7300</v>
          </cell>
        </row>
        <row r="134">
          <cell r="B134">
            <v>2405</v>
          </cell>
          <cell r="S134">
            <v>9000</v>
          </cell>
        </row>
        <row r="135">
          <cell r="B135">
            <v>3605</v>
          </cell>
          <cell r="S135">
            <v>3500</v>
          </cell>
        </row>
        <row r="136">
          <cell r="B136">
            <v>3556</v>
          </cell>
          <cell r="S136">
            <v>4500</v>
          </cell>
        </row>
        <row r="137">
          <cell r="B137">
            <v>2012</v>
          </cell>
          <cell r="S137">
            <v>10500</v>
          </cell>
        </row>
        <row r="138">
          <cell r="B138">
            <v>3085</v>
          </cell>
          <cell r="S138">
            <v>4100</v>
          </cell>
        </row>
        <row r="139">
          <cell r="B139">
            <v>2055</v>
          </cell>
          <cell r="S139">
            <v>10000</v>
          </cell>
        </row>
        <row r="140">
          <cell r="B140">
            <v>2267</v>
          </cell>
          <cell r="S140">
            <v>7500</v>
          </cell>
        </row>
        <row r="141">
          <cell r="B141">
            <v>1040</v>
          </cell>
          <cell r="S141">
            <v>7200</v>
          </cell>
        </row>
        <row r="142">
          <cell r="B142">
            <v>2013</v>
          </cell>
          <cell r="S142">
            <v>7800</v>
          </cell>
        </row>
        <row r="143">
          <cell r="B143">
            <v>2777</v>
          </cell>
          <cell r="S143">
            <v>6500</v>
          </cell>
        </row>
        <row r="144">
          <cell r="B144">
            <v>2320</v>
          </cell>
          <cell r="S144">
            <v>5500</v>
          </cell>
        </row>
        <row r="145">
          <cell r="B145">
            <v>3421</v>
          </cell>
          <cell r="S145">
            <v>4500</v>
          </cell>
        </row>
        <row r="146">
          <cell r="B146">
            <v>1032</v>
          </cell>
          <cell r="S146">
            <v>10000</v>
          </cell>
        </row>
        <row r="147">
          <cell r="B147">
            <v>3606</v>
          </cell>
          <cell r="S147">
            <v>4500</v>
          </cell>
        </row>
        <row r="148">
          <cell r="B148">
            <v>2062</v>
          </cell>
          <cell r="S148">
            <v>7500</v>
          </cell>
        </row>
        <row r="149">
          <cell r="B149">
            <v>0</v>
          </cell>
          <cell r="S149">
            <v>0</v>
          </cell>
        </row>
        <row r="150">
          <cell r="B150">
            <v>2630</v>
          </cell>
          <cell r="S150">
            <v>7000</v>
          </cell>
        </row>
        <row r="151">
          <cell r="B151">
            <v>1002</v>
          </cell>
          <cell r="S151">
            <v>7500</v>
          </cell>
        </row>
        <row r="152">
          <cell r="B152">
            <v>2224</v>
          </cell>
          <cell r="S152">
            <v>3000</v>
          </cell>
        </row>
        <row r="153">
          <cell r="B153">
            <v>3484</v>
          </cell>
          <cell r="S153">
            <v>7500</v>
          </cell>
        </row>
        <row r="154">
          <cell r="B154">
            <v>72</v>
          </cell>
          <cell r="S154">
            <v>3000</v>
          </cell>
        </row>
        <row r="155">
          <cell r="B155">
            <v>2100</v>
          </cell>
          <cell r="S155">
            <v>6500</v>
          </cell>
        </row>
        <row r="156">
          <cell r="B156">
            <v>2075</v>
          </cell>
          <cell r="S156">
            <v>8000</v>
          </cell>
        </row>
        <row r="157">
          <cell r="B157">
            <v>3485</v>
          </cell>
          <cell r="S157">
            <v>11000</v>
          </cell>
        </row>
        <row r="158">
          <cell r="B158">
            <v>1072</v>
          </cell>
          <cell r="S158">
            <v>8000</v>
          </cell>
        </row>
        <row r="159">
          <cell r="B159">
            <v>2234</v>
          </cell>
          <cell r="S159">
            <v>6500</v>
          </cell>
        </row>
        <row r="160">
          <cell r="B160">
            <v>3225</v>
          </cell>
          <cell r="S160">
            <v>5000</v>
          </cell>
        </row>
        <row r="161">
          <cell r="B161">
            <v>3317</v>
          </cell>
          <cell r="S161">
            <v>9000</v>
          </cell>
        </row>
        <row r="162">
          <cell r="B162">
            <v>0</v>
          </cell>
          <cell r="S162">
            <v>0</v>
          </cell>
        </row>
        <row r="163">
          <cell r="B163">
            <v>3560</v>
          </cell>
          <cell r="S163">
            <v>5650</v>
          </cell>
        </row>
        <row r="164">
          <cell r="B164">
            <v>2423</v>
          </cell>
          <cell r="S164">
            <v>5500</v>
          </cell>
        </row>
        <row r="165">
          <cell r="B165">
            <v>2056</v>
          </cell>
          <cell r="S165">
            <v>6000</v>
          </cell>
        </row>
        <row r="166">
          <cell r="B166">
            <v>3452</v>
          </cell>
          <cell r="S166">
            <v>5000</v>
          </cell>
        </row>
        <row r="167">
          <cell r="B167">
            <v>3451</v>
          </cell>
          <cell r="S167">
            <v>4500</v>
          </cell>
        </row>
        <row r="168">
          <cell r="B168">
            <v>2581</v>
          </cell>
          <cell r="S168">
            <v>3800</v>
          </cell>
        </row>
        <row r="169">
          <cell r="B169">
            <v>2712</v>
          </cell>
          <cell r="S169">
            <v>7000</v>
          </cell>
        </row>
        <row r="170">
          <cell r="B170">
            <v>3425</v>
          </cell>
          <cell r="S170">
            <v>4500</v>
          </cell>
        </row>
        <row r="171">
          <cell r="B171">
            <v>2612</v>
          </cell>
          <cell r="S171">
            <v>8500</v>
          </cell>
        </row>
        <row r="172">
          <cell r="B172">
            <v>3263</v>
          </cell>
          <cell r="S172">
            <v>6200</v>
          </cell>
        </row>
        <row r="173">
          <cell r="B173">
            <v>3496</v>
          </cell>
          <cell r="S173">
            <v>6000</v>
          </cell>
        </row>
        <row r="174">
          <cell r="B174">
            <v>3573</v>
          </cell>
          <cell r="S174">
            <v>3500</v>
          </cell>
        </row>
        <row r="175">
          <cell r="B175">
            <v>2160</v>
          </cell>
          <cell r="S175">
            <v>6000</v>
          </cell>
        </row>
        <row r="176">
          <cell r="B176">
            <v>2631</v>
          </cell>
          <cell r="S176">
            <v>6300</v>
          </cell>
        </row>
        <row r="177">
          <cell r="B177">
            <v>3607</v>
          </cell>
          <cell r="S177">
            <v>4500</v>
          </cell>
        </row>
        <row r="178">
          <cell r="B178">
            <v>2406</v>
          </cell>
          <cell r="S178">
            <v>6500</v>
          </cell>
        </row>
        <row r="179">
          <cell r="B179">
            <v>2341</v>
          </cell>
          <cell r="S179">
            <v>4500</v>
          </cell>
        </row>
        <row r="180">
          <cell r="B180">
            <v>3267</v>
          </cell>
          <cell r="S180">
            <v>6000</v>
          </cell>
        </row>
        <row r="181">
          <cell r="B181">
            <v>2356</v>
          </cell>
          <cell r="S181">
            <v>6800</v>
          </cell>
        </row>
        <row r="182">
          <cell r="B182">
            <v>2043</v>
          </cell>
          <cell r="S182">
            <v>9000</v>
          </cell>
        </row>
        <row r="183">
          <cell r="B183">
            <v>3080</v>
          </cell>
          <cell r="S183">
            <v>4600</v>
          </cell>
        </row>
        <row r="184">
          <cell r="B184">
            <v>2266</v>
          </cell>
          <cell r="S184">
            <v>6300</v>
          </cell>
        </row>
        <row r="185">
          <cell r="B185">
            <v>2732</v>
          </cell>
          <cell r="S185">
            <v>10000</v>
          </cell>
        </row>
        <row r="186">
          <cell r="B186">
            <v>3463</v>
          </cell>
          <cell r="S186">
            <v>3400</v>
          </cell>
        </row>
        <row r="187">
          <cell r="B187">
            <v>0</v>
          </cell>
          <cell r="S187">
            <v>0</v>
          </cell>
        </row>
        <row r="188">
          <cell r="B188">
            <v>1099</v>
          </cell>
          <cell r="S188">
            <v>10000</v>
          </cell>
        </row>
        <row r="189">
          <cell r="B189">
            <v>3242</v>
          </cell>
          <cell r="S189">
            <v>5000</v>
          </cell>
        </row>
        <row r="190">
          <cell r="B190">
            <v>3501</v>
          </cell>
          <cell r="S190">
            <v>8500</v>
          </cell>
        </row>
        <row r="191">
          <cell r="B191">
            <v>3609</v>
          </cell>
          <cell r="S191">
            <v>8000</v>
          </cell>
        </row>
        <row r="192">
          <cell r="B192">
            <v>3416</v>
          </cell>
          <cell r="S192">
            <v>4000</v>
          </cell>
        </row>
        <row r="193">
          <cell r="B193">
            <v>1035</v>
          </cell>
          <cell r="S193">
            <v>6000</v>
          </cell>
        </row>
        <row r="194">
          <cell r="B194">
            <v>3563</v>
          </cell>
          <cell r="S194">
            <v>4500</v>
          </cell>
        </row>
        <row r="195">
          <cell r="B195">
            <v>0</v>
          </cell>
          <cell r="S195">
            <v>0</v>
          </cell>
        </row>
        <row r="196">
          <cell r="B196">
            <v>3325</v>
          </cell>
          <cell r="S196">
            <v>5600</v>
          </cell>
        </row>
        <row r="197">
          <cell r="B197">
            <v>3469</v>
          </cell>
          <cell r="S197">
            <v>5000</v>
          </cell>
        </row>
        <row r="198">
          <cell r="B198">
            <v>3207</v>
          </cell>
          <cell r="S198">
            <v>6000</v>
          </cell>
        </row>
        <row r="199">
          <cell r="B199">
            <v>3610</v>
          </cell>
          <cell r="S199">
            <v>4000</v>
          </cell>
        </row>
        <row r="200">
          <cell r="B200">
            <v>2424</v>
          </cell>
          <cell r="S200">
            <v>3500</v>
          </cell>
        </row>
        <row r="201">
          <cell r="B201">
            <v>3131</v>
          </cell>
          <cell r="S201">
            <v>6000</v>
          </cell>
        </row>
        <row r="202">
          <cell r="B202">
            <v>3611</v>
          </cell>
          <cell r="S202">
            <v>4500</v>
          </cell>
        </row>
        <row r="203">
          <cell r="B203">
            <v>3056</v>
          </cell>
          <cell r="S203">
            <v>6200</v>
          </cell>
        </row>
        <row r="204">
          <cell r="B204">
            <v>0</v>
          </cell>
          <cell r="S204">
            <v>0</v>
          </cell>
        </row>
        <row r="205">
          <cell r="B205">
            <v>3502</v>
          </cell>
          <cell r="S205">
            <v>7000</v>
          </cell>
        </row>
        <row r="206">
          <cell r="B206">
            <v>3503</v>
          </cell>
          <cell r="S206">
            <v>4500</v>
          </cell>
        </row>
        <row r="207">
          <cell r="B207">
            <v>1083</v>
          </cell>
          <cell r="S207">
            <v>8000</v>
          </cell>
        </row>
        <row r="208">
          <cell r="B208">
            <v>2232</v>
          </cell>
          <cell r="S208">
            <v>6500</v>
          </cell>
        </row>
        <row r="209">
          <cell r="B209">
            <v>2046</v>
          </cell>
          <cell r="S209">
            <v>8500</v>
          </cell>
        </row>
        <row r="210">
          <cell r="B210">
            <v>3504</v>
          </cell>
          <cell r="S210">
            <v>15000</v>
          </cell>
        </row>
        <row r="211">
          <cell r="B211">
            <v>3505</v>
          </cell>
          <cell r="S211">
            <v>3000</v>
          </cell>
        </row>
        <row r="212">
          <cell r="B212">
            <v>2657</v>
          </cell>
          <cell r="S212">
            <v>6500</v>
          </cell>
        </row>
        <row r="213">
          <cell r="B213">
            <v>3508</v>
          </cell>
          <cell r="S213">
            <v>3000</v>
          </cell>
        </row>
        <row r="214">
          <cell r="B214">
            <v>2790</v>
          </cell>
          <cell r="S214">
            <v>7000</v>
          </cell>
        </row>
        <row r="215">
          <cell r="B215">
            <v>2632</v>
          </cell>
          <cell r="S215">
            <v>6300</v>
          </cell>
        </row>
        <row r="216">
          <cell r="B216">
            <v>2066</v>
          </cell>
          <cell r="S216">
            <v>9000</v>
          </cell>
        </row>
        <row r="217">
          <cell r="B217">
            <v>3509</v>
          </cell>
          <cell r="S217">
            <v>4500</v>
          </cell>
        </row>
        <row r="218">
          <cell r="B218">
            <v>3612</v>
          </cell>
          <cell r="S218">
            <v>4500</v>
          </cell>
        </row>
        <row r="219">
          <cell r="B219">
            <v>3367</v>
          </cell>
          <cell r="S219">
            <v>4000</v>
          </cell>
        </row>
        <row r="220">
          <cell r="B220">
            <v>2639</v>
          </cell>
          <cell r="S220">
            <v>4700</v>
          </cell>
        </row>
        <row r="221">
          <cell r="B221">
            <v>2268</v>
          </cell>
          <cell r="S221">
            <v>6800</v>
          </cell>
        </row>
        <row r="222">
          <cell r="B222">
            <v>3363</v>
          </cell>
          <cell r="S222">
            <v>5800</v>
          </cell>
        </row>
        <row r="223">
          <cell r="B223">
            <v>2558</v>
          </cell>
          <cell r="S223">
            <v>4450</v>
          </cell>
        </row>
        <row r="224">
          <cell r="B224">
            <v>3086</v>
          </cell>
          <cell r="S224">
            <v>3200</v>
          </cell>
        </row>
        <row r="225">
          <cell r="B225">
            <v>3564</v>
          </cell>
          <cell r="S225">
            <v>0</v>
          </cell>
        </row>
        <row r="226">
          <cell r="B226">
            <v>1030</v>
          </cell>
          <cell r="S226">
            <v>5800</v>
          </cell>
        </row>
        <row r="227">
          <cell r="B227">
            <v>3401</v>
          </cell>
          <cell r="S227">
            <v>5500</v>
          </cell>
        </row>
        <row r="228">
          <cell r="B228">
            <v>3189</v>
          </cell>
          <cell r="S228">
            <v>6500</v>
          </cell>
        </row>
        <row r="229">
          <cell r="B229">
            <v>3208</v>
          </cell>
          <cell r="S229">
            <v>4500</v>
          </cell>
        </row>
        <row r="230">
          <cell r="B230">
            <v>3268</v>
          </cell>
          <cell r="S230">
            <v>3300</v>
          </cell>
        </row>
        <row r="231">
          <cell r="B231">
            <v>2378</v>
          </cell>
          <cell r="S231">
            <v>4400</v>
          </cell>
        </row>
        <row r="232">
          <cell r="B232">
            <v>1097</v>
          </cell>
          <cell r="S232">
            <v>7000</v>
          </cell>
        </row>
        <row r="233">
          <cell r="B233">
            <v>2579</v>
          </cell>
          <cell r="S233">
            <v>5500</v>
          </cell>
        </row>
        <row r="234">
          <cell r="B234">
            <v>0</v>
          </cell>
          <cell r="S234">
            <v>0</v>
          </cell>
        </row>
        <row r="235">
          <cell r="B235">
            <v>1063</v>
          </cell>
          <cell r="S235">
            <v>6500</v>
          </cell>
        </row>
        <row r="236">
          <cell r="B236">
            <v>3511</v>
          </cell>
          <cell r="S236">
            <v>3000</v>
          </cell>
        </row>
        <row r="237">
          <cell r="B237">
            <v>3074</v>
          </cell>
          <cell r="S237">
            <v>4000</v>
          </cell>
        </row>
        <row r="238">
          <cell r="B238">
            <v>3587</v>
          </cell>
          <cell r="S238">
            <v>3500</v>
          </cell>
        </row>
        <row r="239">
          <cell r="B239">
            <v>44</v>
          </cell>
          <cell r="S239">
            <v>5300</v>
          </cell>
        </row>
        <row r="240">
          <cell r="B240">
            <v>1071</v>
          </cell>
          <cell r="S240">
            <v>6800</v>
          </cell>
        </row>
        <row r="241">
          <cell r="B241">
            <v>3472</v>
          </cell>
          <cell r="S241">
            <v>6000</v>
          </cell>
        </row>
        <row r="242">
          <cell r="B242">
            <v>2660</v>
          </cell>
          <cell r="S242">
            <v>4800</v>
          </cell>
        </row>
        <row r="243">
          <cell r="B243">
            <v>0</v>
          </cell>
          <cell r="S243">
            <v>0</v>
          </cell>
        </row>
        <row r="244">
          <cell r="B244">
            <v>3514</v>
          </cell>
          <cell r="S244">
            <v>3000</v>
          </cell>
        </row>
        <row r="245">
          <cell r="B245">
            <v>3402</v>
          </cell>
          <cell r="S245">
            <v>5500</v>
          </cell>
        </row>
        <row r="246">
          <cell r="B246">
            <v>2651</v>
          </cell>
          <cell r="S246">
            <v>4500</v>
          </cell>
        </row>
        <row r="247">
          <cell r="B247">
            <v>3061</v>
          </cell>
          <cell r="S247">
            <v>5500</v>
          </cell>
        </row>
        <row r="248">
          <cell r="B248">
            <v>2634</v>
          </cell>
          <cell r="S248">
            <v>5500</v>
          </cell>
        </row>
        <row r="249">
          <cell r="B249">
            <v>3158</v>
          </cell>
          <cell r="S249">
            <v>4800</v>
          </cell>
        </row>
        <row r="250">
          <cell r="B250">
            <v>2285</v>
          </cell>
          <cell r="S250">
            <v>5300</v>
          </cell>
        </row>
        <row r="251">
          <cell r="B251">
            <v>2753</v>
          </cell>
          <cell r="S251">
            <v>4000</v>
          </cell>
        </row>
        <row r="252">
          <cell r="B252">
            <v>1044</v>
          </cell>
          <cell r="S252">
            <v>6000</v>
          </cell>
        </row>
        <row r="253">
          <cell r="B253">
            <v>3582</v>
          </cell>
          <cell r="S253">
            <v>7000</v>
          </cell>
        </row>
        <row r="254">
          <cell r="B254">
            <v>0</v>
          </cell>
          <cell r="S254">
            <v>0</v>
          </cell>
        </row>
        <row r="255">
          <cell r="B255">
            <v>2202</v>
          </cell>
          <cell r="S255">
            <v>4300</v>
          </cell>
        </row>
        <row r="256">
          <cell r="B256">
            <v>2616</v>
          </cell>
          <cell r="S256">
            <v>0</v>
          </cell>
        </row>
        <row r="257">
          <cell r="B257">
            <v>2460</v>
          </cell>
          <cell r="S257">
            <v>0</v>
          </cell>
        </row>
        <row r="258">
          <cell r="B258">
            <v>1052</v>
          </cell>
          <cell r="S258">
            <v>4300</v>
          </cell>
        </row>
        <row r="259">
          <cell r="B259">
            <v>3136</v>
          </cell>
          <cell r="S259">
            <v>5000</v>
          </cell>
        </row>
        <row r="260">
          <cell r="B260">
            <v>3273</v>
          </cell>
          <cell r="S260">
            <v>3000</v>
          </cell>
        </row>
        <row r="261">
          <cell r="B261">
            <v>2570</v>
          </cell>
          <cell r="S261">
            <v>5800</v>
          </cell>
        </row>
        <row r="262">
          <cell r="B262">
            <v>3584</v>
          </cell>
          <cell r="S262">
            <v>4000</v>
          </cell>
        </row>
        <row r="263">
          <cell r="B263">
            <v>3516</v>
          </cell>
          <cell r="S263">
            <v>4000</v>
          </cell>
        </row>
        <row r="264">
          <cell r="B264">
            <v>3581</v>
          </cell>
          <cell r="S264">
            <v>3500</v>
          </cell>
        </row>
        <row r="265">
          <cell r="B265">
            <v>3119</v>
          </cell>
          <cell r="S265">
            <v>6500</v>
          </cell>
        </row>
        <row r="266">
          <cell r="B266">
            <v>1</v>
          </cell>
          <cell r="S266">
            <v>0</v>
          </cell>
        </row>
        <row r="267">
          <cell r="B267">
            <v>2589</v>
          </cell>
          <cell r="S267">
            <v>10000</v>
          </cell>
        </row>
        <row r="268">
          <cell r="B268">
            <v>3586</v>
          </cell>
          <cell r="S268">
            <v>3500</v>
          </cell>
        </row>
        <row r="269">
          <cell r="B269">
            <v>0</v>
          </cell>
          <cell r="S269">
            <v>0</v>
          </cell>
        </row>
        <row r="270">
          <cell r="B270">
            <v>0</v>
          </cell>
          <cell r="S270">
            <v>0</v>
          </cell>
        </row>
        <row r="271">
          <cell r="B271">
            <v>3341</v>
          </cell>
          <cell r="S271">
            <v>6000</v>
          </cell>
        </row>
        <row r="272">
          <cell r="B272">
            <v>2554</v>
          </cell>
          <cell r="S272">
            <v>4300</v>
          </cell>
        </row>
        <row r="273">
          <cell r="B273">
            <v>2462</v>
          </cell>
          <cell r="S273">
            <v>7000</v>
          </cell>
        </row>
        <row r="274">
          <cell r="B274">
            <v>3520</v>
          </cell>
          <cell r="S274">
            <v>3500</v>
          </cell>
        </row>
        <row r="275">
          <cell r="B275">
            <v>3265</v>
          </cell>
          <cell r="S275">
            <v>4500</v>
          </cell>
        </row>
        <row r="276">
          <cell r="B276">
            <v>2695</v>
          </cell>
          <cell r="S276">
            <v>4000</v>
          </cell>
        </row>
        <row r="277">
          <cell r="B277">
            <v>3139</v>
          </cell>
          <cell r="S277">
            <v>3500</v>
          </cell>
        </row>
        <row r="278">
          <cell r="B278">
            <v>2744</v>
          </cell>
          <cell r="S278">
            <v>6000</v>
          </cell>
        </row>
        <row r="279">
          <cell r="B279">
            <v>53</v>
          </cell>
          <cell r="S279">
            <v>3000</v>
          </cell>
        </row>
        <row r="280">
          <cell r="B280">
            <v>3429</v>
          </cell>
          <cell r="S280">
            <v>4400</v>
          </cell>
        </row>
        <row r="281">
          <cell r="B281">
            <v>3431</v>
          </cell>
          <cell r="S281">
            <v>7500</v>
          </cell>
        </row>
        <row r="282">
          <cell r="B282">
            <v>3565</v>
          </cell>
          <cell r="S282">
            <v>20000</v>
          </cell>
        </row>
        <row r="283">
          <cell r="B283">
            <v>3521</v>
          </cell>
          <cell r="S283">
            <v>4150</v>
          </cell>
        </row>
        <row r="284">
          <cell r="B284">
            <v>58</v>
          </cell>
          <cell r="S284">
            <v>3000</v>
          </cell>
        </row>
        <row r="285">
          <cell r="B285">
            <v>3430</v>
          </cell>
          <cell r="S285">
            <v>4800</v>
          </cell>
        </row>
        <row r="286">
          <cell r="B286">
            <v>0</v>
          </cell>
          <cell r="S286">
            <v>0</v>
          </cell>
        </row>
        <row r="287">
          <cell r="B287">
            <v>3522</v>
          </cell>
          <cell r="S287">
            <v>3500</v>
          </cell>
        </row>
        <row r="288">
          <cell r="B288">
            <v>62</v>
          </cell>
          <cell r="S288">
            <v>2000</v>
          </cell>
        </row>
        <row r="289">
          <cell r="B289">
            <v>20</v>
          </cell>
          <cell r="S289">
            <v>6300</v>
          </cell>
        </row>
        <row r="290">
          <cell r="B290">
            <v>64</v>
          </cell>
          <cell r="S290">
            <v>3000</v>
          </cell>
        </row>
        <row r="291">
          <cell r="B291">
            <v>65</v>
          </cell>
          <cell r="S291">
            <v>2000</v>
          </cell>
        </row>
        <row r="292">
          <cell r="B292">
            <v>3019</v>
          </cell>
          <cell r="S292">
            <v>4500</v>
          </cell>
        </row>
        <row r="293">
          <cell r="B293">
            <v>67</v>
          </cell>
          <cell r="S293">
            <v>3000</v>
          </cell>
        </row>
        <row r="294">
          <cell r="B294">
            <v>2614</v>
          </cell>
          <cell r="S294">
            <v>8500</v>
          </cell>
        </row>
        <row r="295">
          <cell r="B295">
            <v>3335</v>
          </cell>
          <cell r="S295">
            <v>3300</v>
          </cell>
        </row>
        <row r="296">
          <cell r="B296">
            <v>3142</v>
          </cell>
          <cell r="S296">
            <v>4000</v>
          </cell>
        </row>
        <row r="297">
          <cell r="B297">
            <v>2617</v>
          </cell>
          <cell r="S297">
            <v>6500</v>
          </cell>
        </row>
        <row r="298">
          <cell r="B298">
            <v>3183</v>
          </cell>
          <cell r="S298">
            <v>0</v>
          </cell>
        </row>
        <row r="299">
          <cell r="B299">
            <v>2750</v>
          </cell>
          <cell r="S299">
            <v>6000</v>
          </cell>
        </row>
        <row r="300">
          <cell r="B300">
            <v>3301</v>
          </cell>
          <cell r="S300">
            <v>3000</v>
          </cell>
        </row>
        <row r="301">
          <cell r="B301">
            <v>3566</v>
          </cell>
          <cell r="S301">
            <v>4500</v>
          </cell>
        </row>
        <row r="302">
          <cell r="B302">
            <v>2696</v>
          </cell>
          <cell r="S302">
            <v>6500</v>
          </cell>
        </row>
        <row r="303">
          <cell r="B303">
            <v>2178</v>
          </cell>
          <cell r="S303">
            <v>7000</v>
          </cell>
        </row>
        <row r="304">
          <cell r="B304">
            <v>69</v>
          </cell>
          <cell r="S304">
            <v>3500</v>
          </cell>
        </row>
        <row r="305">
          <cell r="B305">
            <v>3067</v>
          </cell>
          <cell r="S305">
            <v>5500</v>
          </cell>
        </row>
        <row r="306">
          <cell r="B306">
            <v>3339</v>
          </cell>
          <cell r="S306">
            <v>5500</v>
          </cell>
        </row>
        <row r="307">
          <cell r="B307">
            <v>3523</v>
          </cell>
          <cell r="S307">
            <v>4500</v>
          </cell>
        </row>
        <row r="308">
          <cell r="B308">
            <v>2261</v>
          </cell>
          <cell r="S308">
            <v>6500</v>
          </cell>
        </row>
        <row r="309">
          <cell r="B309">
            <v>3215</v>
          </cell>
          <cell r="S309">
            <v>4300</v>
          </cell>
        </row>
        <row r="310">
          <cell r="B310">
            <v>3588</v>
          </cell>
          <cell r="S310">
            <v>4500</v>
          </cell>
        </row>
        <row r="311">
          <cell r="B311">
            <v>3525</v>
          </cell>
          <cell r="S311">
            <v>4500</v>
          </cell>
        </row>
        <row r="312">
          <cell r="B312">
            <v>2646</v>
          </cell>
          <cell r="S312">
            <v>5000</v>
          </cell>
        </row>
        <row r="313">
          <cell r="B313">
            <v>0</v>
          </cell>
          <cell r="S313">
            <v>0</v>
          </cell>
        </row>
        <row r="314">
          <cell r="B314">
            <v>3590</v>
          </cell>
          <cell r="S314">
            <v>7300</v>
          </cell>
        </row>
        <row r="315">
          <cell r="B315">
            <v>2260</v>
          </cell>
          <cell r="S315">
            <v>6700</v>
          </cell>
        </row>
        <row r="316">
          <cell r="B316">
            <v>0</v>
          </cell>
          <cell r="S316">
            <v>0</v>
          </cell>
        </row>
        <row r="317">
          <cell r="B317">
            <v>2624</v>
          </cell>
          <cell r="S317">
            <v>3800</v>
          </cell>
        </row>
        <row r="318">
          <cell r="B318">
            <v>2647</v>
          </cell>
          <cell r="S318">
            <v>5300</v>
          </cell>
        </row>
        <row r="319">
          <cell r="B319">
            <v>0</v>
          </cell>
          <cell r="S319">
            <v>0</v>
          </cell>
        </row>
        <row r="320">
          <cell r="B320">
            <v>3528</v>
          </cell>
          <cell r="S320">
            <v>4000</v>
          </cell>
        </row>
        <row r="321">
          <cell r="B321">
            <v>1023</v>
          </cell>
          <cell r="S321">
            <v>8000</v>
          </cell>
        </row>
        <row r="322">
          <cell r="B322">
            <v>3065</v>
          </cell>
          <cell r="S322">
            <v>4000</v>
          </cell>
        </row>
        <row r="323">
          <cell r="B323">
            <v>3529</v>
          </cell>
          <cell r="S323">
            <v>6150</v>
          </cell>
        </row>
        <row r="324">
          <cell r="B324">
            <v>3591</v>
          </cell>
          <cell r="S324">
            <v>6000</v>
          </cell>
        </row>
        <row r="325">
          <cell r="B325">
            <v>3218</v>
          </cell>
          <cell r="S325">
            <v>3500</v>
          </cell>
        </row>
        <row r="326">
          <cell r="B326">
            <v>3340</v>
          </cell>
          <cell r="S326">
            <v>15000</v>
          </cell>
        </row>
        <row r="327">
          <cell r="B327">
            <v>2016</v>
          </cell>
          <cell r="S327">
            <v>11000</v>
          </cell>
        </row>
        <row r="328">
          <cell r="B328">
            <v>3531</v>
          </cell>
          <cell r="S328">
            <v>5650</v>
          </cell>
        </row>
        <row r="329">
          <cell r="B329">
            <v>0</v>
          </cell>
          <cell r="S329">
            <v>0</v>
          </cell>
        </row>
        <row r="330">
          <cell r="B330">
            <v>2379</v>
          </cell>
          <cell r="S330">
            <v>6000</v>
          </cell>
        </row>
        <row r="331">
          <cell r="B331">
            <v>3438</v>
          </cell>
          <cell r="S331">
            <v>4500</v>
          </cell>
        </row>
        <row r="332">
          <cell r="B332">
            <v>3342</v>
          </cell>
          <cell r="S332">
            <v>4500</v>
          </cell>
        </row>
        <row r="333">
          <cell r="B333">
            <v>3533</v>
          </cell>
          <cell r="S333">
            <v>5000</v>
          </cell>
        </row>
        <row r="334">
          <cell r="B334">
            <v>2672</v>
          </cell>
          <cell r="S334">
            <v>3500</v>
          </cell>
        </row>
        <row r="335">
          <cell r="B335">
            <v>3437</v>
          </cell>
          <cell r="S335">
            <v>4000</v>
          </cell>
        </row>
        <row r="336">
          <cell r="B336">
            <v>3534</v>
          </cell>
          <cell r="S336">
            <v>5000</v>
          </cell>
        </row>
        <row r="337">
          <cell r="B337">
            <v>0</v>
          </cell>
          <cell r="S337">
            <v>0</v>
          </cell>
        </row>
        <row r="338">
          <cell r="B338">
            <v>2749</v>
          </cell>
          <cell r="S338">
            <v>5500</v>
          </cell>
        </row>
        <row r="339">
          <cell r="B339">
            <v>3519</v>
          </cell>
          <cell r="S339">
            <v>4000</v>
          </cell>
        </row>
        <row r="340">
          <cell r="B340">
            <v>0</v>
          </cell>
          <cell r="S340">
            <v>0</v>
          </cell>
        </row>
        <row r="341">
          <cell r="B341">
            <v>2128</v>
          </cell>
          <cell r="S341">
            <v>7500</v>
          </cell>
        </row>
        <row r="342">
          <cell r="B342">
            <v>3145</v>
          </cell>
          <cell r="S342">
            <v>5500</v>
          </cell>
        </row>
        <row r="343">
          <cell r="B343">
            <v>3537</v>
          </cell>
          <cell r="S343">
            <v>5000</v>
          </cell>
        </row>
        <row r="344">
          <cell r="B344">
            <v>3105</v>
          </cell>
          <cell r="S344">
            <v>4500</v>
          </cell>
        </row>
        <row r="345">
          <cell r="B345">
            <v>0</v>
          </cell>
          <cell r="S345">
            <v>0</v>
          </cell>
        </row>
        <row r="346">
          <cell r="B346">
            <v>3349</v>
          </cell>
          <cell r="S346">
            <v>4200</v>
          </cell>
        </row>
        <row r="347">
          <cell r="B347">
            <v>2039</v>
          </cell>
          <cell r="S347">
            <v>7200</v>
          </cell>
        </row>
        <row r="348">
          <cell r="B348">
            <v>2226</v>
          </cell>
          <cell r="S348">
            <v>5500</v>
          </cell>
        </row>
        <row r="349">
          <cell r="B349">
            <v>2433</v>
          </cell>
          <cell r="S349">
            <v>5500</v>
          </cell>
        </row>
        <row r="350">
          <cell r="B350">
            <v>3162</v>
          </cell>
          <cell r="S350">
            <v>5500</v>
          </cell>
        </row>
        <row r="351">
          <cell r="B351">
            <v>0</v>
          </cell>
          <cell r="S351">
            <v>0</v>
          </cell>
        </row>
        <row r="352">
          <cell r="B352">
            <v>3536</v>
          </cell>
          <cell r="S352">
            <v>6150</v>
          </cell>
        </row>
        <row r="353">
          <cell r="B353">
            <v>2249</v>
          </cell>
          <cell r="S353">
            <v>7500</v>
          </cell>
        </row>
        <row r="354">
          <cell r="B354">
            <v>3403</v>
          </cell>
          <cell r="S354">
            <v>6500</v>
          </cell>
        </row>
        <row r="355">
          <cell r="B355">
            <v>3346</v>
          </cell>
          <cell r="S355">
            <v>6000</v>
          </cell>
        </row>
        <row r="356">
          <cell r="B356">
            <v>3404</v>
          </cell>
          <cell r="S356">
            <v>4000</v>
          </cell>
        </row>
        <row r="357">
          <cell r="B357">
            <v>3405</v>
          </cell>
          <cell r="S357">
            <v>5000</v>
          </cell>
        </row>
        <row r="358">
          <cell r="B358">
            <v>2637</v>
          </cell>
          <cell r="S358">
            <v>5500</v>
          </cell>
        </row>
        <row r="359">
          <cell r="B359">
            <v>3147</v>
          </cell>
          <cell r="S359">
            <v>6000</v>
          </cell>
        </row>
        <row r="360">
          <cell r="B360">
            <v>3541</v>
          </cell>
          <cell r="S360">
            <v>4500</v>
          </cell>
        </row>
        <row r="361">
          <cell r="B361">
            <v>3592</v>
          </cell>
          <cell r="S361">
            <v>4500</v>
          </cell>
        </row>
        <row r="362">
          <cell r="B362">
            <v>3243</v>
          </cell>
          <cell r="S362">
            <v>3500</v>
          </cell>
        </row>
        <row r="363">
          <cell r="B363">
            <v>0</v>
          </cell>
          <cell r="S363">
            <v>0</v>
          </cell>
        </row>
        <row r="364">
          <cell r="B364">
            <v>3542</v>
          </cell>
          <cell r="S364">
            <v>15000</v>
          </cell>
        </row>
        <row r="365">
          <cell r="B365">
            <v>3540</v>
          </cell>
          <cell r="S365">
            <v>3500</v>
          </cell>
        </row>
        <row r="366">
          <cell r="B366">
            <v>3406</v>
          </cell>
          <cell r="S366">
            <v>5500</v>
          </cell>
        </row>
        <row r="367">
          <cell r="B367">
            <v>2752</v>
          </cell>
          <cell r="S367">
            <v>4400</v>
          </cell>
        </row>
        <row r="368">
          <cell r="B368">
            <v>3543</v>
          </cell>
          <cell r="S368">
            <v>7000</v>
          </cell>
        </row>
        <row r="369">
          <cell r="B369">
            <v>3544</v>
          </cell>
          <cell r="S369">
            <v>4500</v>
          </cell>
        </row>
        <row r="370">
          <cell r="B370">
            <v>2770</v>
          </cell>
          <cell r="S370">
            <v>3500</v>
          </cell>
        </row>
        <row r="371">
          <cell r="B371">
            <v>2316</v>
          </cell>
          <cell r="S371">
            <v>7200</v>
          </cell>
        </row>
        <row r="372">
          <cell r="B372">
            <v>3157</v>
          </cell>
          <cell r="S372">
            <v>5500</v>
          </cell>
        </row>
        <row r="373">
          <cell r="B373">
            <v>3440</v>
          </cell>
          <cell r="S373">
            <v>6000</v>
          </cell>
        </row>
        <row r="374">
          <cell r="B374">
            <v>3545</v>
          </cell>
          <cell r="S374">
            <v>5500</v>
          </cell>
        </row>
        <row r="375">
          <cell r="B375">
            <v>2688</v>
          </cell>
          <cell r="S375">
            <v>4400</v>
          </cell>
        </row>
        <row r="376">
          <cell r="B376">
            <v>3156</v>
          </cell>
          <cell r="S376">
            <v>5500</v>
          </cell>
        </row>
        <row r="377">
          <cell r="B377">
            <v>2764</v>
          </cell>
          <cell r="S377">
            <v>4500</v>
          </cell>
        </row>
        <row r="378">
          <cell r="B378">
            <v>3169</v>
          </cell>
          <cell r="S378">
            <v>4300</v>
          </cell>
        </row>
        <row r="379">
          <cell r="B379">
            <v>3168</v>
          </cell>
          <cell r="S379">
            <v>7000</v>
          </cell>
        </row>
        <row r="380">
          <cell r="B380">
            <v>3593</v>
          </cell>
          <cell r="S380">
            <v>4500</v>
          </cell>
        </row>
        <row r="381">
          <cell r="B381">
            <v>3547</v>
          </cell>
          <cell r="S381">
            <v>5500</v>
          </cell>
        </row>
        <row r="382">
          <cell r="B382">
            <v>1039</v>
          </cell>
          <cell r="S382">
            <v>7500</v>
          </cell>
        </row>
        <row r="383">
          <cell r="B383">
            <v>0</v>
          </cell>
          <cell r="S383">
            <v>0</v>
          </cell>
        </row>
        <row r="384">
          <cell r="B384">
            <v>0</v>
          </cell>
          <cell r="S384">
            <v>0</v>
          </cell>
        </row>
        <row r="385">
          <cell r="B385">
            <v>3077</v>
          </cell>
          <cell r="S385">
            <v>5650</v>
          </cell>
        </row>
        <row r="386">
          <cell r="B386">
            <v>3408</v>
          </cell>
          <cell r="S386">
            <v>7700</v>
          </cell>
        </row>
        <row r="387">
          <cell r="B387">
            <v>3594</v>
          </cell>
          <cell r="S387">
            <v>4500</v>
          </cell>
        </row>
        <row r="388">
          <cell r="B388">
            <v>2765</v>
          </cell>
          <cell r="S388">
            <v>8500</v>
          </cell>
        </row>
        <row r="389">
          <cell r="B389">
            <v>3568</v>
          </cell>
          <cell r="S389">
            <v>4000</v>
          </cell>
        </row>
        <row r="390">
          <cell r="B390">
            <v>2771</v>
          </cell>
          <cell r="S390">
            <v>5000</v>
          </cell>
        </row>
        <row r="391">
          <cell r="B391">
            <v>2726</v>
          </cell>
          <cell r="S391">
            <v>4500</v>
          </cell>
        </row>
        <row r="392">
          <cell r="B392">
            <v>3106</v>
          </cell>
          <cell r="S392">
            <v>6600</v>
          </cell>
        </row>
        <row r="393">
          <cell r="B393">
            <v>2447</v>
          </cell>
          <cell r="S393">
            <v>6600</v>
          </cell>
        </row>
        <row r="394">
          <cell r="B394">
            <v>3256</v>
          </cell>
          <cell r="S394">
            <v>4500</v>
          </cell>
        </row>
        <row r="395">
          <cell r="B395">
            <v>1094</v>
          </cell>
          <cell r="S395">
            <v>8000</v>
          </cell>
        </row>
        <row r="396">
          <cell r="B396">
            <v>3595</v>
          </cell>
          <cell r="S396">
            <v>4500</v>
          </cell>
        </row>
        <row r="397">
          <cell r="B397">
            <v>3552</v>
          </cell>
          <cell r="S397">
            <v>4500</v>
          </cell>
        </row>
        <row r="398">
          <cell r="B398">
            <v>0</v>
          </cell>
          <cell r="S398">
            <v>0</v>
          </cell>
        </row>
        <row r="399">
          <cell r="B399">
            <v>3271</v>
          </cell>
          <cell r="S399">
            <v>4500</v>
          </cell>
        </row>
        <row r="400">
          <cell r="B400">
            <v>0</v>
          </cell>
          <cell r="S400">
            <v>0</v>
          </cell>
        </row>
        <row r="401">
          <cell r="B401">
            <v>3270</v>
          </cell>
          <cell r="S401">
            <v>4500</v>
          </cell>
        </row>
        <row r="402">
          <cell r="B402">
            <v>2355</v>
          </cell>
          <cell r="S402">
            <v>6000</v>
          </cell>
        </row>
        <row r="403">
          <cell r="B403">
            <v>3570</v>
          </cell>
          <cell r="S403">
            <v>4000</v>
          </cell>
        </row>
        <row r="404">
          <cell r="B404">
            <v>2507</v>
          </cell>
          <cell r="S404">
            <v>5500</v>
          </cell>
        </row>
        <row r="405">
          <cell r="B405">
            <v>0</v>
          </cell>
          <cell r="S405">
            <v>0</v>
          </cell>
        </row>
        <row r="406">
          <cell r="B406">
            <v>1050</v>
          </cell>
          <cell r="S406">
            <v>8000</v>
          </cell>
        </row>
        <row r="407">
          <cell r="B407">
            <v>3596</v>
          </cell>
          <cell r="S407">
            <v>4500</v>
          </cell>
        </row>
        <row r="408">
          <cell r="B408">
            <v>3576</v>
          </cell>
          <cell r="S408">
            <v>3500</v>
          </cell>
        </row>
        <row r="409">
          <cell r="B409">
            <v>3597</v>
          </cell>
          <cell r="S409">
            <v>6000</v>
          </cell>
        </row>
        <row r="410">
          <cell r="B410">
            <v>3355</v>
          </cell>
          <cell r="S410">
            <v>6000</v>
          </cell>
        </row>
        <row r="411">
          <cell r="B411">
            <v>3005</v>
          </cell>
          <cell r="S411">
            <v>6000</v>
          </cell>
        </row>
        <row r="412">
          <cell r="B412">
            <v>0</v>
          </cell>
          <cell r="S412">
            <v>0</v>
          </cell>
        </row>
        <row r="413">
          <cell r="B413">
            <v>0</v>
          </cell>
          <cell r="S413">
            <v>0</v>
          </cell>
        </row>
        <row r="414">
          <cell r="B414">
            <v>0</v>
          </cell>
          <cell r="S414">
            <v>0</v>
          </cell>
        </row>
        <row r="415">
          <cell r="B415">
            <v>0</v>
          </cell>
          <cell r="S415">
            <v>0</v>
          </cell>
        </row>
        <row r="416">
          <cell r="B416">
            <v>0</v>
          </cell>
          <cell r="S416">
            <v>0</v>
          </cell>
        </row>
        <row r="417">
          <cell r="B417">
            <v>0</v>
          </cell>
          <cell r="S417">
            <v>0</v>
          </cell>
        </row>
        <row r="418">
          <cell r="B418">
            <v>0</v>
          </cell>
          <cell r="S418">
            <v>0</v>
          </cell>
        </row>
        <row r="419">
          <cell r="B419">
            <v>0</v>
          </cell>
          <cell r="S419">
            <v>0</v>
          </cell>
        </row>
        <row r="420">
          <cell r="B420">
            <v>0</v>
          </cell>
          <cell r="S420">
            <v>0</v>
          </cell>
        </row>
        <row r="421">
          <cell r="B421"/>
          <cell r="S421">
            <v>2159550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رواتب"/>
      <sheetName val="الاظرف"/>
      <sheetName val="sheet"/>
      <sheetName val="طلب صرف المرتبات"/>
      <sheetName val="رواتب البنجالة"/>
    </sheetNames>
    <sheetDataSet>
      <sheetData sheetId="0">
        <row r="1">
          <cell r="B1"/>
          <cell r="C1"/>
          <cell r="D1"/>
          <cell r="E1"/>
          <cell r="F1"/>
          <cell r="G1"/>
          <cell r="H1" t="str">
            <v>ة</v>
          </cell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</row>
        <row r="5">
          <cell r="B5" t="str">
            <v>الكود</v>
          </cell>
          <cell r="C5" t="str">
            <v>تاريخ اخر زيادة</v>
          </cell>
          <cell r="D5" t="str">
            <v>طريقة القبض</v>
          </cell>
          <cell r="E5" t="str">
            <v>الوظيفة</v>
          </cell>
          <cell r="F5" t="str">
            <v>القسم</v>
          </cell>
          <cell r="G5" t="str">
            <v>الاســــم</v>
          </cell>
          <cell r="H5" t="str">
            <v>الاستحقاقات</v>
          </cell>
          <cell r="I5"/>
          <cell r="J5"/>
          <cell r="K5"/>
          <cell r="L5"/>
          <cell r="M5"/>
          <cell r="N5"/>
          <cell r="O5"/>
          <cell r="P5"/>
          <cell r="Q5"/>
          <cell r="R5"/>
          <cell r="S5" t="str">
            <v>إجمالي الاستحقاقات</v>
          </cell>
        </row>
        <row r="6">
          <cell r="B6"/>
          <cell r="C6"/>
          <cell r="D6"/>
          <cell r="E6"/>
          <cell r="F6"/>
          <cell r="G6"/>
          <cell r="H6" t="str">
            <v>الاجر التاميني</v>
          </cell>
          <cell r="I6" t="str">
            <v>أساسى</v>
          </cell>
          <cell r="J6" t="str">
            <v xml:space="preserve">حافز انتظام </v>
          </cell>
          <cell r="K6" t="str">
            <v>حافز انتاج</v>
          </cell>
          <cell r="L6" t="str">
            <v>بدل مواصلات</v>
          </cell>
          <cell r="M6" t="str">
            <v>غلاء معيشه</v>
          </cell>
          <cell r="N6" t="str">
            <v>حوافز اثابه</v>
          </cell>
          <cell r="O6" t="str">
            <v>حافز تميز</v>
          </cell>
          <cell r="P6" t="str">
            <v>مكافأة</v>
          </cell>
          <cell r="Q6" t="str">
            <v>بونص انتاج</v>
          </cell>
          <cell r="R6" t="str">
            <v>علاوه اقدميه</v>
          </cell>
          <cell r="S6"/>
        </row>
        <row r="7"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B8">
            <v>1000</v>
          </cell>
          <cell r="C8"/>
          <cell r="D8"/>
          <cell r="E8" t="str">
            <v>نائب مجلس الإدارة</v>
          </cell>
          <cell r="F8" t="str">
            <v>الإدارة</v>
          </cell>
          <cell r="G8" t="str">
            <v>احمد جمال محمد عبد الرحمن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>
            <v>0</v>
          </cell>
        </row>
        <row r="9">
          <cell r="B9">
            <v>2596</v>
          </cell>
          <cell r="C9" t="str">
            <v>ديسمبر</v>
          </cell>
          <cell r="D9" t="str">
            <v>فيزا اهلي</v>
          </cell>
          <cell r="E9" t="str">
            <v>شئون العاملين</v>
          </cell>
          <cell r="F9" t="str">
            <v>الإدارة</v>
          </cell>
          <cell r="G9" t="str">
            <v>عبد الله مصطفى علي هندام</v>
          </cell>
          <cell r="H9"/>
          <cell r="I9">
            <v>8200</v>
          </cell>
          <cell r="J9">
            <v>300</v>
          </cell>
          <cell r="K9"/>
          <cell r="L9"/>
          <cell r="M9">
            <v>2000</v>
          </cell>
          <cell r="N9"/>
          <cell r="O9">
            <v>500</v>
          </cell>
          <cell r="P9"/>
          <cell r="Q9"/>
          <cell r="R9"/>
          <cell r="S9">
            <v>11000</v>
          </cell>
        </row>
        <row r="10">
          <cell r="B10">
            <v>2375</v>
          </cell>
          <cell r="C10" t="str">
            <v>مايو</v>
          </cell>
          <cell r="D10" t="str">
            <v>فيزا اهلي</v>
          </cell>
          <cell r="E10" t="str">
            <v xml:space="preserve">حسابات </v>
          </cell>
          <cell r="F10" t="str">
            <v>الإدارة</v>
          </cell>
          <cell r="G10" t="str">
            <v>علاء مجدي صادق</v>
          </cell>
          <cell r="H10"/>
          <cell r="I10">
            <v>10700</v>
          </cell>
          <cell r="J10">
            <v>300</v>
          </cell>
          <cell r="K10"/>
          <cell r="L10"/>
          <cell r="M10">
            <v>2000</v>
          </cell>
          <cell r="N10"/>
          <cell r="O10">
            <v>2000</v>
          </cell>
          <cell r="P10"/>
          <cell r="Q10"/>
          <cell r="R10"/>
          <cell r="S10">
            <v>15000</v>
          </cell>
        </row>
        <row r="11">
          <cell r="B11">
            <v>3070</v>
          </cell>
          <cell r="C11" t="str">
            <v>يونيو</v>
          </cell>
          <cell r="D11" t="str">
            <v>فيزا قاهرة</v>
          </cell>
          <cell r="E11" t="str">
            <v>مساعدة</v>
          </cell>
          <cell r="F11" t="str">
            <v>خط 4</v>
          </cell>
          <cell r="G11" t="str">
            <v>فاطمة محمد عباس عبده شحاتة</v>
          </cell>
          <cell r="H11"/>
          <cell r="I11">
            <v>3100</v>
          </cell>
          <cell r="J11">
            <v>300</v>
          </cell>
          <cell r="K11">
            <v>300</v>
          </cell>
          <cell r="L11"/>
          <cell r="M11">
            <v>300</v>
          </cell>
          <cell r="N11"/>
          <cell r="O11"/>
          <cell r="P11"/>
          <cell r="Q11"/>
          <cell r="R11"/>
          <cell r="S11">
            <v>4000</v>
          </cell>
        </row>
        <row r="12">
          <cell r="B12">
            <v>3306</v>
          </cell>
          <cell r="C12" t="str">
            <v>ديسمبر</v>
          </cell>
          <cell r="D12" t="str">
            <v>فيزا قاهرة</v>
          </cell>
          <cell r="E12" t="str">
            <v>تغيرات</v>
          </cell>
          <cell r="F12" t="str">
            <v>القص</v>
          </cell>
          <cell r="G12" t="str">
            <v>محمد ابراهيم صالح ابراهيم</v>
          </cell>
          <cell r="H12"/>
          <cell r="I12">
            <v>4400</v>
          </cell>
          <cell r="J12">
            <v>300</v>
          </cell>
          <cell r="K12">
            <v>300</v>
          </cell>
          <cell r="L12">
            <v>200</v>
          </cell>
          <cell r="M12">
            <v>300</v>
          </cell>
          <cell r="N12"/>
          <cell r="O12"/>
          <cell r="P12"/>
          <cell r="Q12"/>
          <cell r="R12"/>
          <cell r="S12">
            <v>5500</v>
          </cell>
        </row>
        <row r="13">
          <cell r="B13">
            <v>1003</v>
          </cell>
          <cell r="C13" t="str">
            <v>سبتمبر</v>
          </cell>
          <cell r="D13" t="str">
            <v>فيزا اهلي</v>
          </cell>
          <cell r="E13" t="str">
            <v>مدير التجارية والتخطيط</v>
          </cell>
          <cell r="F13" t="str">
            <v>التخطيط</v>
          </cell>
          <cell r="G13" t="str">
            <v>محمد يوسف يوسف الزلاط</v>
          </cell>
          <cell r="H13">
            <v>2700</v>
          </cell>
          <cell r="I13">
            <v>13200</v>
          </cell>
          <cell r="J13">
            <v>300</v>
          </cell>
          <cell r="K13"/>
          <cell r="L13"/>
          <cell r="M13">
            <v>1000</v>
          </cell>
          <cell r="N13"/>
          <cell r="O13">
            <v>500</v>
          </cell>
          <cell r="P13"/>
          <cell r="Q13"/>
          <cell r="R13"/>
          <cell r="S13">
            <v>15000</v>
          </cell>
        </row>
        <row r="14">
          <cell r="B14">
            <v>10005</v>
          </cell>
          <cell r="C14" t="str">
            <v>ديسمبر</v>
          </cell>
          <cell r="D14" t="str">
            <v>فيزا اهلي</v>
          </cell>
          <cell r="E14" t="str">
            <v>مسئول اول تخطيط عام المصنع</v>
          </cell>
          <cell r="F14" t="str">
            <v>التخطيط</v>
          </cell>
          <cell r="G14" t="str">
            <v>عمرو محمد الصديق ابراهيم</v>
          </cell>
          <cell r="H14"/>
          <cell r="I14">
            <v>8200</v>
          </cell>
          <cell r="J14">
            <v>300</v>
          </cell>
          <cell r="K14"/>
          <cell r="L14"/>
          <cell r="M14">
            <v>1000</v>
          </cell>
          <cell r="N14"/>
          <cell r="O14">
            <v>500</v>
          </cell>
          <cell r="P14"/>
          <cell r="Q14"/>
          <cell r="R14"/>
          <cell r="S14">
            <v>10000</v>
          </cell>
        </row>
        <row r="15">
          <cell r="B15">
            <v>2078</v>
          </cell>
          <cell r="C15" t="str">
            <v>ديسمبر</v>
          </cell>
          <cell r="D15" t="str">
            <v>فيزا اهلي</v>
          </cell>
          <cell r="E15" t="str">
            <v>مسئول ثاني تخطيط قماش والقص</v>
          </cell>
          <cell r="F15" t="str">
            <v>التخطيط</v>
          </cell>
          <cell r="G15" t="str">
            <v>منار محمد ابراهيم الباز</v>
          </cell>
          <cell r="H15"/>
          <cell r="I15">
            <v>5700</v>
          </cell>
          <cell r="J15">
            <v>300</v>
          </cell>
          <cell r="K15"/>
          <cell r="L15"/>
          <cell r="M15">
            <v>500</v>
          </cell>
          <cell r="N15"/>
          <cell r="O15">
            <v>500</v>
          </cell>
          <cell r="P15"/>
          <cell r="Q15"/>
          <cell r="R15"/>
          <cell r="S15">
            <v>7000</v>
          </cell>
        </row>
        <row r="16">
          <cell r="B16">
            <v>3071</v>
          </cell>
          <cell r="C16" t="str">
            <v>يوليو</v>
          </cell>
          <cell r="D16" t="str">
            <v>فيزا قاهرة</v>
          </cell>
          <cell r="E16" t="str">
            <v>تجهيز تكت</v>
          </cell>
          <cell r="F16" t="str">
            <v>التجهيز</v>
          </cell>
          <cell r="G16" t="str">
            <v>دعاء السيد حمودة محمد حمودة</v>
          </cell>
          <cell r="H16"/>
          <cell r="I16">
            <v>3600</v>
          </cell>
          <cell r="J16">
            <v>300</v>
          </cell>
          <cell r="K16">
            <v>300</v>
          </cell>
          <cell r="L16"/>
          <cell r="M16">
            <v>200</v>
          </cell>
          <cell r="N16"/>
          <cell r="O16"/>
          <cell r="P16"/>
          <cell r="Q16"/>
          <cell r="R16"/>
          <cell r="S16">
            <v>4400</v>
          </cell>
        </row>
        <row r="17">
          <cell r="B17">
            <v>1006</v>
          </cell>
          <cell r="C17" t="str">
            <v>ديسمبر</v>
          </cell>
          <cell r="D17" t="str">
            <v>فيزا اهلي</v>
          </cell>
          <cell r="E17" t="str">
            <v>الباترون</v>
          </cell>
          <cell r="F17" t="str">
            <v>الإدارة الفنية</v>
          </cell>
          <cell r="G17" t="str">
            <v>محمد على على الادهم</v>
          </cell>
          <cell r="H17"/>
          <cell r="I17">
            <v>8200</v>
          </cell>
          <cell r="J17">
            <v>300</v>
          </cell>
          <cell r="K17"/>
          <cell r="L17"/>
          <cell r="M17">
            <v>1500</v>
          </cell>
          <cell r="N17"/>
          <cell r="O17">
            <v>1000</v>
          </cell>
          <cell r="P17"/>
          <cell r="Q17"/>
          <cell r="R17"/>
          <cell r="S17">
            <v>11000</v>
          </cell>
        </row>
        <row r="18">
          <cell r="B18">
            <v>0</v>
          </cell>
          <cell r="C18" t="str">
            <v>لا يوجد</v>
          </cell>
          <cell r="D18" t="str">
            <v>كاش</v>
          </cell>
          <cell r="E18">
            <v>0</v>
          </cell>
          <cell r="F18">
            <v>0</v>
          </cell>
          <cell r="G18">
            <v>0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>
            <v>0</v>
          </cell>
        </row>
        <row r="19">
          <cell r="B19">
            <v>2470</v>
          </cell>
          <cell r="C19" t="str">
            <v>ديسمبر</v>
          </cell>
          <cell r="D19" t="str">
            <v>فيزا اهلي</v>
          </cell>
          <cell r="E19" t="str">
            <v>مدير المخازن</v>
          </cell>
          <cell r="F19" t="str">
            <v>مخازن</v>
          </cell>
          <cell r="G19" t="str">
            <v>امير محمدين محمد محمد احمد</v>
          </cell>
          <cell r="H19"/>
          <cell r="I19">
            <v>5700</v>
          </cell>
          <cell r="J19">
            <v>300</v>
          </cell>
          <cell r="K19"/>
          <cell r="L19"/>
          <cell r="M19">
            <v>1500</v>
          </cell>
          <cell r="N19"/>
          <cell r="O19">
            <v>500</v>
          </cell>
          <cell r="P19"/>
          <cell r="Q19"/>
          <cell r="R19"/>
          <cell r="S19">
            <v>8000</v>
          </cell>
        </row>
        <row r="20">
          <cell r="B20">
            <v>3072</v>
          </cell>
          <cell r="C20" t="str">
            <v>ديسمبر</v>
          </cell>
          <cell r="D20" t="str">
            <v>فيزا قاهرة</v>
          </cell>
          <cell r="E20" t="str">
            <v>خط الصدر 2</v>
          </cell>
          <cell r="F20" t="str">
            <v>الجودة</v>
          </cell>
          <cell r="G20" t="str">
            <v>دنيا زغلول علي عبده خلاف</v>
          </cell>
          <cell r="H20"/>
          <cell r="I20">
            <v>4600</v>
          </cell>
          <cell r="J20">
            <v>300</v>
          </cell>
          <cell r="K20">
            <v>300</v>
          </cell>
          <cell r="L20"/>
          <cell r="M20">
            <v>300</v>
          </cell>
          <cell r="N20"/>
          <cell r="O20"/>
          <cell r="P20"/>
          <cell r="Q20"/>
          <cell r="R20"/>
          <cell r="S20">
            <v>5500</v>
          </cell>
        </row>
        <row r="21">
          <cell r="B21">
            <v>1014</v>
          </cell>
          <cell r="C21" t="str">
            <v>ديسمبر</v>
          </cell>
          <cell r="D21" t="str">
            <v>فيزا قاهرة</v>
          </cell>
          <cell r="E21" t="str">
            <v>فرد امن صباحي</v>
          </cell>
          <cell r="F21" t="str">
            <v>الامن</v>
          </cell>
          <cell r="G21" t="str">
            <v>محمد حامد على عبد الرحمن</v>
          </cell>
          <cell r="H21"/>
          <cell r="I21">
            <v>5100</v>
          </cell>
          <cell r="J21">
            <v>300</v>
          </cell>
          <cell r="K21"/>
          <cell r="L21"/>
          <cell r="M21">
            <v>500</v>
          </cell>
          <cell r="N21"/>
          <cell r="O21">
            <v>500</v>
          </cell>
          <cell r="P21"/>
          <cell r="Q21"/>
          <cell r="R21"/>
          <cell r="S21">
            <v>6400</v>
          </cell>
        </row>
        <row r="22">
          <cell r="B22">
            <v>2571</v>
          </cell>
          <cell r="C22" t="str">
            <v>ديسمبر</v>
          </cell>
          <cell r="D22" t="str">
            <v>كاش</v>
          </cell>
          <cell r="E22" t="str">
            <v>فرد امن الأقسام النهائية</v>
          </cell>
          <cell r="F22" t="str">
            <v>الامن</v>
          </cell>
          <cell r="G22" t="str">
            <v>محمد عزت الطنطاوي غانم</v>
          </cell>
          <cell r="H22"/>
          <cell r="I22">
            <v>4300</v>
          </cell>
          <cell r="J22">
            <v>300</v>
          </cell>
          <cell r="K22"/>
          <cell r="L22"/>
          <cell r="M22">
            <v>500</v>
          </cell>
          <cell r="N22"/>
          <cell r="O22">
            <v>500</v>
          </cell>
          <cell r="P22"/>
          <cell r="Q22"/>
          <cell r="R22"/>
          <cell r="S22">
            <v>5600</v>
          </cell>
        </row>
        <row r="23">
          <cell r="B23">
            <v>2574</v>
          </cell>
          <cell r="C23" t="str">
            <v>ديسمبر</v>
          </cell>
          <cell r="D23" t="str">
            <v>فيزا قاهرة</v>
          </cell>
          <cell r="E23" t="str">
            <v>فرد امن مبنى القص</v>
          </cell>
          <cell r="F23" t="str">
            <v>الامن</v>
          </cell>
          <cell r="G23" t="str">
            <v xml:space="preserve">مختار محمد جاد الله </v>
          </cell>
          <cell r="H23"/>
          <cell r="I23">
            <v>3400</v>
          </cell>
          <cell r="J23">
            <v>300</v>
          </cell>
          <cell r="K23"/>
          <cell r="L23"/>
          <cell r="M23">
            <v>200</v>
          </cell>
          <cell r="N23"/>
          <cell r="O23">
            <v>500</v>
          </cell>
          <cell r="P23"/>
          <cell r="Q23"/>
          <cell r="R23"/>
          <cell r="S23">
            <v>4400</v>
          </cell>
        </row>
        <row r="24">
          <cell r="B24">
            <v>1012</v>
          </cell>
          <cell r="C24" t="str">
            <v>ديسمبر</v>
          </cell>
          <cell r="D24" t="str">
            <v>كاش</v>
          </cell>
          <cell r="E24" t="str">
            <v>فرد امن ليلى</v>
          </cell>
          <cell r="F24" t="str">
            <v>الامن</v>
          </cell>
          <cell r="G24" t="str">
            <v>احمد عبد الحليم ابراهيم على عبده</v>
          </cell>
          <cell r="H24"/>
          <cell r="I24">
            <v>3300</v>
          </cell>
          <cell r="J24">
            <v>300</v>
          </cell>
          <cell r="K24"/>
          <cell r="L24"/>
          <cell r="M24">
            <v>300</v>
          </cell>
          <cell r="N24"/>
          <cell r="O24">
            <v>500</v>
          </cell>
          <cell r="P24"/>
          <cell r="Q24"/>
          <cell r="R24"/>
          <cell r="S24">
            <v>4400</v>
          </cell>
        </row>
        <row r="25">
          <cell r="B25">
            <v>1011</v>
          </cell>
          <cell r="C25" t="str">
            <v>ديسمبر</v>
          </cell>
          <cell r="D25" t="str">
            <v>كاش</v>
          </cell>
          <cell r="E25" t="str">
            <v>فرد امن ليلى</v>
          </cell>
          <cell r="F25" t="str">
            <v>الامن</v>
          </cell>
          <cell r="G25" t="str">
            <v>مسعد السيد السيد شطا</v>
          </cell>
          <cell r="H25"/>
          <cell r="I25">
            <v>3100</v>
          </cell>
          <cell r="J25">
            <v>300</v>
          </cell>
          <cell r="K25"/>
          <cell r="L25"/>
          <cell r="M25">
            <v>300</v>
          </cell>
          <cell r="N25"/>
          <cell r="O25">
            <v>500</v>
          </cell>
          <cell r="P25"/>
          <cell r="Q25"/>
          <cell r="R25"/>
          <cell r="S25">
            <v>4200</v>
          </cell>
        </row>
        <row r="26">
          <cell r="B26">
            <v>1015</v>
          </cell>
          <cell r="C26" t="str">
            <v>ديسمبر</v>
          </cell>
          <cell r="D26" t="str">
            <v>فيزا قاهرة</v>
          </cell>
          <cell r="E26" t="str">
            <v>خدمات</v>
          </cell>
          <cell r="F26" t="str">
            <v>خدمات</v>
          </cell>
          <cell r="G26" t="str">
            <v>نهى محمد محمد ابراهيم</v>
          </cell>
          <cell r="H26"/>
          <cell r="I26">
            <v>3400</v>
          </cell>
          <cell r="J26">
            <v>300</v>
          </cell>
          <cell r="K26"/>
          <cell r="L26"/>
          <cell r="M26">
            <v>200</v>
          </cell>
          <cell r="N26"/>
          <cell r="O26">
            <v>500</v>
          </cell>
          <cell r="P26"/>
          <cell r="Q26"/>
          <cell r="R26"/>
          <cell r="S26">
            <v>4400</v>
          </cell>
        </row>
        <row r="27">
          <cell r="B27">
            <v>1016</v>
          </cell>
          <cell r="C27" t="str">
            <v>ديسمبر</v>
          </cell>
          <cell r="D27" t="str">
            <v>كاش</v>
          </cell>
          <cell r="E27" t="str">
            <v>خدمات</v>
          </cell>
          <cell r="F27" t="str">
            <v>خدمات</v>
          </cell>
          <cell r="G27" t="str">
            <v>ابراهيم على ابراهيم على جادالله</v>
          </cell>
          <cell r="H27"/>
          <cell r="I27">
            <v>3600</v>
          </cell>
          <cell r="J27">
            <v>300</v>
          </cell>
          <cell r="K27"/>
          <cell r="L27"/>
          <cell r="M27">
            <v>200</v>
          </cell>
          <cell r="N27"/>
          <cell r="O27">
            <v>500</v>
          </cell>
          <cell r="P27"/>
          <cell r="Q27"/>
          <cell r="R27"/>
          <cell r="S27">
            <v>4600</v>
          </cell>
        </row>
        <row r="28">
          <cell r="B28">
            <v>2482</v>
          </cell>
          <cell r="C28" t="str">
            <v>لا يوجد</v>
          </cell>
          <cell r="D28" t="str">
            <v>كاش</v>
          </cell>
          <cell r="E28" t="str">
            <v>رليز تجميع</v>
          </cell>
          <cell r="F28" t="str">
            <v>خط الفنيش 1</v>
          </cell>
          <cell r="G28" t="str">
            <v>سلمى ابراهيم علي النبلاوي</v>
          </cell>
          <cell r="H28"/>
          <cell r="I28">
            <v>3600</v>
          </cell>
          <cell r="J28">
            <v>300</v>
          </cell>
          <cell r="K28">
            <v>300</v>
          </cell>
          <cell r="L28"/>
          <cell r="M28">
            <v>300</v>
          </cell>
          <cell r="N28"/>
          <cell r="O28"/>
          <cell r="P28"/>
          <cell r="Q28"/>
          <cell r="R28"/>
          <cell r="S28">
            <v>4500</v>
          </cell>
        </row>
        <row r="29">
          <cell r="B29">
            <v>2079</v>
          </cell>
          <cell r="C29" t="str">
            <v>ديسمبر</v>
          </cell>
          <cell r="D29" t="str">
            <v>فيزا قاهرة</v>
          </cell>
          <cell r="E29" t="str">
            <v>خدمات</v>
          </cell>
          <cell r="F29" t="str">
            <v>خدمات</v>
          </cell>
          <cell r="G29" t="str">
            <v>علي السيد مصطفى شطا</v>
          </cell>
          <cell r="H29"/>
          <cell r="I29">
            <v>3400</v>
          </cell>
          <cell r="J29">
            <v>300</v>
          </cell>
          <cell r="K29"/>
          <cell r="L29"/>
          <cell r="M29">
            <v>200</v>
          </cell>
          <cell r="N29"/>
          <cell r="O29">
            <v>500</v>
          </cell>
          <cell r="P29"/>
          <cell r="Q29"/>
          <cell r="R29"/>
          <cell r="S29">
            <v>4400</v>
          </cell>
        </row>
        <row r="30">
          <cell r="B30">
            <v>3492</v>
          </cell>
          <cell r="C30" t="str">
            <v>لا يوجد</v>
          </cell>
          <cell r="D30" t="str">
            <v>كاش</v>
          </cell>
          <cell r="E30" t="str">
            <v>مشرف انتاج عام خط 1</v>
          </cell>
          <cell r="F30" t="str">
            <v>الإدارة</v>
          </cell>
          <cell r="G30" t="str">
            <v>اسامة عبدالمحسن محمد حسين</v>
          </cell>
          <cell r="H30"/>
          <cell r="I30">
            <v>8700</v>
          </cell>
          <cell r="J30">
            <v>300</v>
          </cell>
          <cell r="K30">
            <v>2000</v>
          </cell>
          <cell r="L30"/>
          <cell r="M30">
            <v>2000</v>
          </cell>
          <cell r="N30"/>
          <cell r="O30">
            <v>2000</v>
          </cell>
          <cell r="P30"/>
          <cell r="Q30"/>
          <cell r="R30"/>
          <cell r="S30">
            <v>15000</v>
          </cell>
        </row>
        <row r="31">
          <cell r="B31">
            <v>3473</v>
          </cell>
          <cell r="C31" t="str">
            <v>لا يوجد</v>
          </cell>
          <cell r="D31" t="str">
            <v>فيزا قاهرة</v>
          </cell>
          <cell r="E31" t="str">
            <v>جودة نهائي</v>
          </cell>
          <cell r="F31" t="str">
            <v>نهائي</v>
          </cell>
          <cell r="G31" t="str">
            <v>عزة الخضري السيد الجنيدي</v>
          </cell>
          <cell r="H31"/>
          <cell r="I31">
            <v>3700</v>
          </cell>
          <cell r="J31">
            <v>300</v>
          </cell>
          <cell r="K31">
            <v>500</v>
          </cell>
          <cell r="L31"/>
          <cell r="M31">
            <v>500</v>
          </cell>
          <cell r="N31"/>
          <cell r="O31"/>
          <cell r="P31"/>
          <cell r="Q31"/>
          <cell r="R31"/>
          <cell r="S31">
            <v>5000</v>
          </cell>
        </row>
        <row r="32">
          <cell r="B32">
            <v>3253</v>
          </cell>
          <cell r="C32" t="str">
            <v>ديسمبر</v>
          </cell>
          <cell r="D32" t="str">
            <v>فيزا قاهرة</v>
          </cell>
          <cell r="E32" t="str">
            <v>تركيب وتشييم</v>
          </cell>
          <cell r="F32" t="str">
            <v>خط الصدر 1</v>
          </cell>
          <cell r="G32" t="str">
            <v>احمد السيد مسعد عبدالمقصود سالم</v>
          </cell>
          <cell r="H32"/>
          <cell r="I32">
            <v>3400</v>
          </cell>
          <cell r="J32">
            <v>300</v>
          </cell>
          <cell r="K32">
            <v>600</v>
          </cell>
          <cell r="L32"/>
          <cell r="M32">
            <v>300</v>
          </cell>
          <cell r="N32"/>
          <cell r="O32"/>
          <cell r="P32"/>
          <cell r="Q32"/>
          <cell r="R32"/>
          <cell r="S32">
            <v>4600</v>
          </cell>
        </row>
        <row r="33">
          <cell r="B33">
            <v>3020</v>
          </cell>
          <cell r="C33" t="str">
            <v>يوليو</v>
          </cell>
          <cell r="D33" t="str">
            <v>فيزا قاهرة</v>
          </cell>
          <cell r="E33" t="str">
            <v>سوستة</v>
          </cell>
          <cell r="F33" t="str">
            <v>التجهيز</v>
          </cell>
          <cell r="G33" t="str">
            <v>ماجدة محمد العربي ابراهيم الدسوقي</v>
          </cell>
          <cell r="H33"/>
          <cell r="I33">
            <v>3700</v>
          </cell>
          <cell r="J33">
            <v>300</v>
          </cell>
          <cell r="K33">
            <v>500</v>
          </cell>
          <cell r="L33"/>
          <cell r="M33">
            <v>500</v>
          </cell>
          <cell r="N33"/>
          <cell r="O33"/>
          <cell r="P33"/>
          <cell r="Q33"/>
          <cell r="R33"/>
          <cell r="S33">
            <v>5000</v>
          </cell>
        </row>
        <row r="34">
          <cell r="B34">
            <v>2206</v>
          </cell>
          <cell r="C34" t="str">
            <v>مايو</v>
          </cell>
          <cell r="D34" t="str">
            <v>فيزا اهلي</v>
          </cell>
          <cell r="E34" t="str">
            <v xml:space="preserve">مسئول المكتب الفني </v>
          </cell>
          <cell r="F34" t="str">
            <v>الإدارة الفنية</v>
          </cell>
          <cell r="G34" t="str">
            <v>ايناس حمدى فتوح شطا</v>
          </cell>
          <cell r="H34"/>
          <cell r="I34">
            <v>6700</v>
          </cell>
          <cell r="J34">
            <v>300</v>
          </cell>
          <cell r="K34"/>
          <cell r="L34"/>
          <cell r="M34">
            <v>500</v>
          </cell>
          <cell r="N34"/>
          <cell r="O34">
            <v>500</v>
          </cell>
          <cell r="P34"/>
          <cell r="Q34"/>
          <cell r="R34"/>
          <cell r="S34">
            <v>8000</v>
          </cell>
        </row>
        <row r="35">
          <cell r="B35">
            <v>3076</v>
          </cell>
          <cell r="C35" t="str">
            <v>ديسمبر</v>
          </cell>
          <cell r="D35" t="str">
            <v>كاش</v>
          </cell>
          <cell r="E35" t="str">
            <v>خط الصدر 3</v>
          </cell>
          <cell r="F35" t="str">
            <v>الجودة</v>
          </cell>
          <cell r="G35" t="str">
            <v>شيماء زغلول علي عبده خلاف</v>
          </cell>
          <cell r="H35"/>
          <cell r="I35">
            <v>4600</v>
          </cell>
          <cell r="J35">
            <v>300</v>
          </cell>
          <cell r="K35">
            <v>300</v>
          </cell>
          <cell r="L35"/>
          <cell r="M35">
            <v>300</v>
          </cell>
          <cell r="N35"/>
          <cell r="O35"/>
          <cell r="P35"/>
          <cell r="Q35"/>
          <cell r="R35"/>
          <cell r="S35">
            <v>5500</v>
          </cell>
        </row>
        <row r="36">
          <cell r="B36">
            <v>3127</v>
          </cell>
          <cell r="C36" t="str">
            <v>يوليو</v>
          </cell>
          <cell r="D36" t="str">
            <v>فيزا قاهرة</v>
          </cell>
          <cell r="E36" t="str">
            <v>ابرة واحدة</v>
          </cell>
          <cell r="F36" t="str">
            <v>التجهيز</v>
          </cell>
          <cell r="G36" t="str">
            <v>نورا عبده محمد علي الهمشري</v>
          </cell>
          <cell r="H36"/>
          <cell r="I36">
            <v>3600</v>
          </cell>
          <cell r="J36">
            <v>300</v>
          </cell>
          <cell r="K36">
            <v>300</v>
          </cell>
          <cell r="L36"/>
          <cell r="M36">
            <v>300</v>
          </cell>
          <cell r="N36"/>
          <cell r="O36"/>
          <cell r="P36"/>
          <cell r="Q36"/>
          <cell r="R36"/>
          <cell r="S36">
            <v>4500</v>
          </cell>
        </row>
        <row r="37">
          <cell r="B37">
            <v>0</v>
          </cell>
          <cell r="C37" t="str">
            <v>لا يوجد</v>
          </cell>
          <cell r="D37" t="str">
            <v>كاش</v>
          </cell>
          <cell r="E37">
            <v>0</v>
          </cell>
          <cell r="F37">
            <v>0</v>
          </cell>
          <cell r="G37">
            <v>0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</row>
        <row r="38">
          <cell r="B38">
            <v>3598</v>
          </cell>
          <cell r="C38" t="str">
            <v>لا يوجد</v>
          </cell>
          <cell r="D38" t="str">
            <v>كاش</v>
          </cell>
          <cell r="E38" t="str">
            <v>كشتورة</v>
          </cell>
          <cell r="F38" t="str">
            <v>خط الصدر 1</v>
          </cell>
          <cell r="G38" t="str">
            <v xml:space="preserve">فارس احمد الجرايحي اسماعيل محمد </v>
          </cell>
          <cell r="H38"/>
          <cell r="I38">
            <v>4200</v>
          </cell>
          <cell r="J38">
            <v>300</v>
          </cell>
          <cell r="K38">
            <v>500</v>
          </cell>
          <cell r="L38"/>
          <cell r="M38">
            <v>500</v>
          </cell>
          <cell r="N38"/>
          <cell r="O38">
            <v>500</v>
          </cell>
          <cell r="P38"/>
          <cell r="Q38"/>
          <cell r="R38"/>
          <cell r="S38">
            <v>6000</v>
          </cell>
        </row>
        <row r="39">
          <cell r="B39">
            <v>3445</v>
          </cell>
          <cell r="C39" t="str">
            <v>لا يوجد</v>
          </cell>
          <cell r="D39" t="str">
            <v>فيزا قاهرة</v>
          </cell>
          <cell r="E39" t="str">
            <v>جودة نهائي</v>
          </cell>
          <cell r="F39" t="str">
            <v>نهائي</v>
          </cell>
          <cell r="G39" t="str">
            <v>ندى محمد الدسوقي فؤاد البدوي</v>
          </cell>
          <cell r="H39"/>
          <cell r="I39">
            <v>3600</v>
          </cell>
          <cell r="J39">
            <v>300</v>
          </cell>
          <cell r="K39">
            <v>300</v>
          </cell>
          <cell r="L39"/>
          <cell r="M39">
            <v>300</v>
          </cell>
          <cell r="N39"/>
          <cell r="O39"/>
          <cell r="P39"/>
          <cell r="Q39"/>
          <cell r="R39"/>
          <cell r="S39">
            <v>4500</v>
          </cell>
        </row>
        <row r="40">
          <cell r="B40">
            <v>2247</v>
          </cell>
          <cell r="C40" t="str">
            <v>لا يوجد</v>
          </cell>
          <cell r="D40" t="str">
            <v>فيزا قاهرة</v>
          </cell>
          <cell r="E40" t="str">
            <v>مدير الجودة</v>
          </cell>
          <cell r="F40" t="str">
            <v>الجودة</v>
          </cell>
          <cell r="G40" t="str">
            <v xml:space="preserve">السعيد السعيد محمد خليل </v>
          </cell>
          <cell r="H40"/>
          <cell r="I40">
            <v>6700</v>
          </cell>
          <cell r="J40">
            <v>300</v>
          </cell>
          <cell r="K40"/>
          <cell r="L40"/>
          <cell r="M40">
            <v>1500</v>
          </cell>
          <cell r="N40"/>
          <cell r="O40">
            <v>1500</v>
          </cell>
          <cell r="P40"/>
          <cell r="Q40"/>
          <cell r="R40"/>
          <cell r="S40">
            <v>10000</v>
          </cell>
        </row>
        <row r="41">
          <cell r="B41">
            <v>3409</v>
          </cell>
          <cell r="C41" t="str">
            <v>لا يوجد</v>
          </cell>
          <cell r="D41" t="str">
            <v>فيزا قاهرة</v>
          </cell>
          <cell r="E41" t="str">
            <v>جودة نهائي</v>
          </cell>
          <cell r="F41" t="str">
            <v>نهائي</v>
          </cell>
          <cell r="G41" t="str">
            <v>منة الله عبده محمد حسن</v>
          </cell>
          <cell r="H41"/>
          <cell r="I41">
            <v>3200</v>
          </cell>
          <cell r="J41">
            <v>300</v>
          </cell>
          <cell r="K41">
            <v>500</v>
          </cell>
          <cell r="L41"/>
          <cell r="M41">
            <v>500</v>
          </cell>
          <cell r="N41"/>
          <cell r="O41"/>
          <cell r="P41"/>
          <cell r="Q41"/>
          <cell r="R41"/>
          <cell r="S41">
            <v>4500</v>
          </cell>
        </row>
        <row r="42">
          <cell r="B42">
            <v>0</v>
          </cell>
          <cell r="C42" t="str">
            <v>لا يوجد</v>
          </cell>
          <cell r="D42" t="str">
            <v>كاش</v>
          </cell>
          <cell r="E42">
            <v>0</v>
          </cell>
          <cell r="F42">
            <v>0</v>
          </cell>
          <cell r="G42">
            <v>0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>
            <v>0</v>
          </cell>
        </row>
        <row r="43">
          <cell r="B43">
            <v>2076</v>
          </cell>
          <cell r="C43" t="str">
            <v>ديسمبر</v>
          </cell>
          <cell r="D43" t="str">
            <v>فيزا قاهرة</v>
          </cell>
          <cell r="E43" t="str">
            <v>لوكسات دابل</v>
          </cell>
          <cell r="F43" t="str">
            <v>عراوي</v>
          </cell>
          <cell r="G43" t="str">
            <v>منة الله حامد محمود</v>
          </cell>
          <cell r="H43"/>
          <cell r="I43">
            <v>5300</v>
          </cell>
          <cell r="J43">
            <v>300</v>
          </cell>
          <cell r="K43">
            <v>1000</v>
          </cell>
          <cell r="L43"/>
          <cell r="M43">
            <v>300</v>
          </cell>
          <cell r="N43"/>
          <cell r="O43">
            <v>500</v>
          </cell>
          <cell r="P43"/>
          <cell r="Q43"/>
          <cell r="R43"/>
          <cell r="S43">
            <v>7400</v>
          </cell>
        </row>
        <row r="44">
          <cell r="B44">
            <v>3383</v>
          </cell>
          <cell r="C44" t="str">
            <v>لا يوجد</v>
          </cell>
          <cell r="D44" t="str">
            <v>كاش</v>
          </cell>
          <cell r="E44" t="str">
            <v>كاتبة انتاج</v>
          </cell>
          <cell r="F44" t="str">
            <v>الإدارة</v>
          </cell>
          <cell r="G44" t="str">
            <v>اسماء احمد هاشم البلاسي</v>
          </cell>
          <cell r="H44"/>
          <cell r="I44">
            <v>3200</v>
          </cell>
          <cell r="J44">
            <v>300</v>
          </cell>
          <cell r="K44"/>
          <cell r="L44"/>
          <cell r="M44">
            <v>500</v>
          </cell>
          <cell r="N44"/>
          <cell r="O44"/>
          <cell r="P44"/>
          <cell r="Q44"/>
          <cell r="R44"/>
          <cell r="S44">
            <v>4000</v>
          </cell>
        </row>
        <row r="45">
          <cell r="B45">
            <v>3023</v>
          </cell>
          <cell r="C45" t="str">
            <v>يونيو</v>
          </cell>
          <cell r="D45" t="str">
            <v>فيزا قاهرة</v>
          </cell>
          <cell r="E45" t="str">
            <v>كبسول</v>
          </cell>
          <cell r="F45" t="str">
            <v>نهائي</v>
          </cell>
          <cell r="G45" t="str">
            <v>منه زغلول عبده جمال اسماعيل</v>
          </cell>
          <cell r="H45"/>
          <cell r="I45">
            <v>3200</v>
          </cell>
          <cell r="J45">
            <v>300</v>
          </cell>
          <cell r="K45">
            <v>500</v>
          </cell>
          <cell r="L45"/>
          <cell r="M45">
            <v>500</v>
          </cell>
          <cell r="N45"/>
          <cell r="O45"/>
          <cell r="P45"/>
          <cell r="Q45"/>
          <cell r="R45"/>
          <cell r="S45">
            <v>4500</v>
          </cell>
        </row>
        <row r="46">
          <cell r="B46">
            <v>3036</v>
          </cell>
          <cell r="C46" t="str">
            <v>يونيو</v>
          </cell>
          <cell r="D46" t="str">
            <v>فيزا قاهرة</v>
          </cell>
          <cell r="E46" t="str">
            <v>تشييم بطانة</v>
          </cell>
          <cell r="F46" t="str">
            <v>خط الصدر 1</v>
          </cell>
          <cell r="G46" t="str">
            <v>اسماء السيد احمد عبدالصادق</v>
          </cell>
          <cell r="H46"/>
          <cell r="I46">
            <v>4100</v>
          </cell>
          <cell r="J46">
            <v>300</v>
          </cell>
          <cell r="K46">
            <v>800</v>
          </cell>
          <cell r="L46"/>
          <cell r="M46">
            <v>300</v>
          </cell>
          <cell r="N46"/>
          <cell r="O46"/>
          <cell r="P46"/>
          <cell r="Q46"/>
          <cell r="R46"/>
          <cell r="S46">
            <v>5500</v>
          </cell>
        </row>
        <row r="47">
          <cell r="B47">
            <v>1004</v>
          </cell>
          <cell r="C47" t="str">
            <v>لا يوجد</v>
          </cell>
          <cell r="D47" t="str">
            <v>كاش</v>
          </cell>
          <cell r="E47" t="str">
            <v>إن لاين</v>
          </cell>
          <cell r="F47" t="str">
            <v>الإدارة الفنية</v>
          </cell>
          <cell r="G47" t="str">
            <v>محمود عمر عبدالرحمن</v>
          </cell>
          <cell r="H47"/>
          <cell r="I47">
            <v>7200</v>
          </cell>
          <cell r="J47">
            <v>300</v>
          </cell>
          <cell r="K47"/>
          <cell r="L47"/>
          <cell r="M47">
            <v>1000</v>
          </cell>
          <cell r="N47"/>
          <cell r="O47">
            <v>500</v>
          </cell>
          <cell r="P47"/>
          <cell r="Q47"/>
          <cell r="R47"/>
          <cell r="S47">
            <v>9000</v>
          </cell>
        </row>
        <row r="48">
          <cell r="B48">
            <v>3255</v>
          </cell>
          <cell r="C48" t="str">
            <v>يونيو</v>
          </cell>
          <cell r="D48" t="str">
            <v>كاش</v>
          </cell>
          <cell r="E48" t="str">
            <v>فزلين</v>
          </cell>
          <cell r="F48" t="str">
            <v>المكواه</v>
          </cell>
          <cell r="G48" t="str">
            <v>محمد نصر علي محمد سيد احمد</v>
          </cell>
          <cell r="H48"/>
          <cell r="I48">
            <v>3400</v>
          </cell>
          <cell r="J48">
            <v>300</v>
          </cell>
          <cell r="K48">
            <v>300</v>
          </cell>
          <cell r="L48">
            <v>150</v>
          </cell>
          <cell r="M48">
            <v>300</v>
          </cell>
          <cell r="N48"/>
          <cell r="O48"/>
          <cell r="P48"/>
          <cell r="Q48"/>
          <cell r="R48"/>
          <cell r="S48">
            <v>4450</v>
          </cell>
        </row>
        <row r="49">
          <cell r="B49">
            <v>3599</v>
          </cell>
          <cell r="C49" t="str">
            <v>لا يوجد</v>
          </cell>
          <cell r="D49" t="str">
            <v>كاش</v>
          </cell>
          <cell r="E49" t="str">
            <v>خارج العمل</v>
          </cell>
          <cell r="F49" t="str">
            <v>خارج العمل</v>
          </cell>
          <cell r="G49" t="str">
            <v>ايمان علام ابو العز محمد</v>
          </cell>
          <cell r="H49"/>
          <cell r="I49">
            <v>4200</v>
          </cell>
          <cell r="J49">
            <v>300</v>
          </cell>
          <cell r="K49">
            <v>500</v>
          </cell>
          <cell r="L49"/>
          <cell r="M49">
            <v>500</v>
          </cell>
          <cell r="N49"/>
          <cell r="O49">
            <v>500</v>
          </cell>
          <cell r="P49"/>
          <cell r="Q49"/>
          <cell r="R49"/>
          <cell r="S49">
            <v>6000</v>
          </cell>
        </row>
        <row r="50">
          <cell r="B50">
            <v>2174</v>
          </cell>
          <cell r="C50" t="str">
            <v>ديسمبر</v>
          </cell>
          <cell r="D50" t="str">
            <v>فيزا اهلي</v>
          </cell>
          <cell r="E50" t="str">
            <v>مسئول الصيانه</v>
          </cell>
          <cell r="F50" t="str">
            <v>الصيانة</v>
          </cell>
          <cell r="G50" t="str">
            <v>اسلام احمد شطا</v>
          </cell>
          <cell r="H50"/>
          <cell r="I50">
            <v>8700</v>
          </cell>
          <cell r="J50">
            <v>300</v>
          </cell>
          <cell r="K50"/>
          <cell r="L50"/>
          <cell r="M50">
            <v>2000</v>
          </cell>
          <cell r="N50"/>
          <cell r="O50">
            <v>2000</v>
          </cell>
          <cell r="P50"/>
          <cell r="Q50"/>
          <cell r="R50"/>
          <cell r="S50">
            <v>13000</v>
          </cell>
        </row>
        <row r="51">
          <cell r="B51">
            <v>2166</v>
          </cell>
          <cell r="C51" t="str">
            <v>ديسمبر</v>
          </cell>
          <cell r="D51" t="str">
            <v>فيزا قاهرة</v>
          </cell>
          <cell r="E51" t="str">
            <v>تعبئة</v>
          </cell>
          <cell r="F51" t="str">
            <v>نهائي</v>
          </cell>
          <cell r="G51" t="str">
            <v>اسلام محمد ابو المعاطي الزلاط</v>
          </cell>
          <cell r="H51"/>
          <cell r="I51">
            <v>5700</v>
          </cell>
          <cell r="J51">
            <v>300</v>
          </cell>
          <cell r="K51">
            <v>500</v>
          </cell>
          <cell r="L51"/>
          <cell r="M51">
            <v>500</v>
          </cell>
          <cell r="N51"/>
          <cell r="O51">
            <v>500</v>
          </cell>
          <cell r="P51"/>
          <cell r="Q51"/>
          <cell r="R51"/>
          <cell r="S51">
            <v>7500</v>
          </cell>
        </row>
        <row r="52">
          <cell r="B52">
            <v>2205</v>
          </cell>
          <cell r="C52" t="str">
            <v>يونيو</v>
          </cell>
          <cell r="D52" t="str">
            <v>فيزا قاهرة</v>
          </cell>
          <cell r="E52" t="str">
            <v xml:space="preserve">تثبيت </v>
          </cell>
          <cell r="F52" t="str">
            <v>خط الصدر 2</v>
          </cell>
          <cell r="G52" t="str">
            <v>على محمود السيد علي منسى</v>
          </cell>
          <cell r="H52"/>
          <cell r="I52">
            <v>4600</v>
          </cell>
          <cell r="J52">
            <v>300</v>
          </cell>
          <cell r="K52">
            <v>800</v>
          </cell>
          <cell r="L52"/>
          <cell r="M52">
            <v>300</v>
          </cell>
          <cell r="N52"/>
          <cell r="O52"/>
          <cell r="P52"/>
          <cell r="Q52"/>
          <cell r="R52"/>
          <cell r="S52">
            <v>6000</v>
          </cell>
        </row>
        <row r="53">
          <cell r="B53">
            <v>3600</v>
          </cell>
          <cell r="C53" t="str">
            <v>لا يوجد</v>
          </cell>
          <cell r="D53" t="str">
            <v>كاش</v>
          </cell>
          <cell r="E53" t="str">
            <v>مساعد</v>
          </cell>
          <cell r="F53" t="str">
            <v>خط الفنيش 2</v>
          </cell>
          <cell r="G53" t="str">
            <v>منتصر البلاسي كمال البلاسي صقر</v>
          </cell>
          <cell r="H53"/>
          <cell r="I53">
            <v>3100</v>
          </cell>
          <cell r="J53">
            <v>300</v>
          </cell>
          <cell r="K53">
            <v>300</v>
          </cell>
          <cell r="L53"/>
          <cell r="M53">
            <v>300</v>
          </cell>
          <cell r="N53"/>
          <cell r="O53"/>
          <cell r="P53"/>
          <cell r="Q53"/>
          <cell r="R53"/>
          <cell r="S53">
            <v>4000</v>
          </cell>
        </row>
        <row r="54">
          <cell r="B54">
            <v>3572</v>
          </cell>
          <cell r="C54" t="str">
            <v>لا يوجد</v>
          </cell>
          <cell r="D54" t="str">
            <v>كاش</v>
          </cell>
          <cell r="E54" t="str">
            <v>اوفر</v>
          </cell>
          <cell r="F54" t="str">
            <v>خط الفنيش 1</v>
          </cell>
          <cell r="G54" t="str">
            <v>سمر محمد السيد محمد الحطيني</v>
          </cell>
          <cell r="H54"/>
          <cell r="I54">
            <v>4700</v>
          </cell>
          <cell r="J54">
            <v>300</v>
          </cell>
          <cell r="K54">
            <v>500</v>
          </cell>
          <cell r="L54"/>
          <cell r="M54">
            <v>500</v>
          </cell>
          <cell r="N54"/>
          <cell r="O54"/>
          <cell r="P54"/>
          <cell r="Q54"/>
          <cell r="R54"/>
          <cell r="S54">
            <v>6000</v>
          </cell>
        </row>
        <row r="55">
          <cell r="B55">
            <v>3579</v>
          </cell>
          <cell r="C55" t="str">
            <v>لا يوجد</v>
          </cell>
          <cell r="D55" t="str">
            <v>كاش</v>
          </cell>
          <cell r="E55" t="str">
            <v>خارج العمل</v>
          </cell>
          <cell r="F55" t="str">
            <v>خارج العمل</v>
          </cell>
          <cell r="G55" t="str">
            <v>السيد فهمي محمد عامر محمد</v>
          </cell>
          <cell r="H55"/>
          <cell r="I55">
            <v>4100</v>
          </cell>
          <cell r="J55">
            <v>300</v>
          </cell>
          <cell r="K55">
            <v>300</v>
          </cell>
          <cell r="L55"/>
          <cell r="M55">
            <v>300</v>
          </cell>
          <cell r="N55"/>
          <cell r="O55"/>
          <cell r="P55"/>
          <cell r="Q55"/>
          <cell r="R55"/>
          <cell r="S55">
            <v>5000</v>
          </cell>
        </row>
        <row r="56">
          <cell r="B56">
            <v>2741</v>
          </cell>
          <cell r="C56" t="str">
            <v>ديسمبر</v>
          </cell>
          <cell r="D56" t="str">
            <v>فيزا قاهرة</v>
          </cell>
          <cell r="E56" t="str">
            <v>جودة خط 2</v>
          </cell>
          <cell r="F56" t="str">
            <v>الجودة</v>
          </cell>
          <cell r="G56" t="str">
            <v>فاطمة فايز زكريا سليمان هلهول</v>
          </cell>
          <cell r="H56"/>
          <cell r="I56">
            <v>5200</v>
          </cell>
          <cell r="J56">
            <v>300</v>
          </cell>
          <cell r="K56">
            <v>300</v>
          </cell>
          <cell r="L56"/>
          <cell r="M56">
            <v>500</v>
          </cell>
          <cell r="N56"/>
          <cell r="O56">
            <v>500</v>
          </cell>
          <cell r="P56"/>
          <cell r="Q56"/>
          <cell r="R56"/>
          <cell r="S56">
            <v>6800</v>
          </cell>
        </row>
        <row r="57">
          <cell r="B57">
            <v>1057</v>
          </cell>
          <cell r="C57" t="str">
            <v>يونيو</v>
          </cell>
          <cell r="D57" t="str">
            <v>فيزا اهلي</v>
          </cell>
          <cell r="E57" t="str">
            <v>مشرف القص</v>
          </cell>
          <cell r="F57" t="str">
            <v>القص</v>
          </cell>
          <cell r="G57" t="str">
            <v>احمد احمد المتولى احمد سالم</v>
          </cell>
          <cell r="H57">
            <v>2700</v>
          </cell>
          <cell r="I57">
            <v>7200</v>
          </cell>
          <cell r="J57">
            <v>300</v>
          </cell>
          <cell r="K57">
            <v>1000</v>
          </cell>
          <cell r="L57"/>
          <cell r="M57">
            <v>1000</v>
          </cell>
          <cell r="N57"/>
          <cell r="O57">
            <v>500</v>
          </cell>
          <cell r="P57"/>
          <cell r="Q57"/>
          <cell r="R57"/>
          <cell r="S57">
            <v>10000</v>
          </cell>
        </row>
        <row r="58">
          <cell r="B58">
            <v>1058</v>
          </cell>
          <cell r="C58" t="str">
            <v>يونيو</v>
          </cell>
          <cell r="D58" t="str">
            <v>فيزا اهلي</v>
          </cell>
          <cell r="E58" t="str">
            <v>مقص دار</v>
          </cell>
          <cell r="F58" t="str">
            <v>القص</v>
          </cell>
          <cell r="G58" t="str">
            <v>محمد منجد عبده عبد المقصود</v>
          </cell>
          <cell r="H58">
            <v>2700</v>
          </cell>
          <cell r="I58">
            <v>6200</v>
          </cell>
          <cell r="J58">
            <v>300</v>
          </cell>
          <cell r="K58">
            <v>1000</v>
          </cell>
          <cell r="L58"/>
          <cell r="M58">
            <v>500</v>
          </cell>
          <cell r="N58"/>
          <cell r="O58">
            <v>1000</v>
          </cell>
          <cell r="P58"/>
          <cell r="Q58"/>
          <cell r="R58"/>
          <cell r="S58">
            <v>9000</v>
          </cell>
        </row>
        <row r="59">
          <cell r="B59">
            <v>3283</v>
          </cell>
          <cell r="C59" t="str">
            <v>لا يوجد</v>
          </cell>
          <cell r="D59" t="str">
            <v>فيزا قاهرة</v>
          </cell>
          <cell r="E59" t="str">
            <v>خياطة</v>
          </cell>
          <cell r="F59" t="str">
            <v>خط الصدر 1</v>
          </cell>
          <cell r="G59" t="str">
            <v>حنان احمد السيد محمد</v>
          </cell>
          <cell r="H59"/>
          <cell r="I59">
            <v>3100</v>
          </cell>
          <cell r="J59">
            <v>300</v>
          </cell>
          <cell r="K59">
            <v>300</v>
          </cell>
          <cell r="L59"/>
          <cell r="M59">
            <v>300</v>
          </cell>
          <cell r="N59"/>
          <cell r="O59"/>
          <cell r="P59"/>
          <cell r="Q59"/>
          <cell r="R59"/>
          <cell r="S59">
            <v>4000</v>
          </cell>
        </row>
        <row r="60">
          <cell r="B60">
            <v>3038</v>
          </cell>
          <cell r="C60" t="str">
            <v>يونيو</v>
          </cell>
          <cell r="D60" t="str">
            <v>كاش</v>
          </cell>
          <cell r="E60" t="str">
            <v>خارج العمل</v>
          </cell>
          <cell r="F60" t="str">
            <v>خارج العمل</v>
          </cell>
          <cell r="G60" t="str">
            <v>نعيمة السيد السيد تقلو</v>
          </cell>
          <cell r="H60"/>
          <cell r="I60">
            <v>4900</v>
          </cell>
          <cell r="J60">
            <v>300</v>
          </cell>
          <cell r="K60">
            <v>1000</v>
          </cell>
          <cell r="L60"/>
          <cell r="M60">
            <v>300</v>
          </cell>
          <cell r="N60"/>
          <cell r="O60"/>
          <cell r="P60"/>
          <cell r="Q60"/>
          <cell r="R60"/>
          <cell r="S60">
            <v>6500</v>
          </cell>
        </row>
        <row r="61">
          <cell r="B61">
            <v>2504</v>
          </cell>
          <cell r="C61" t="str">
            <v>مارس</v>
          </cell>
          <cell r="D61" t="str">
            <v>كاش</v>
          </cell>
          <cell r="E61" t="str">
            <v>مشرف التشطيب</v>
          </cell>
          <cell r="F61" t="str">
            <v>التشطيب</v>
          </cell>
          <cell r="G61" t="str">
            <v>احمد محمد السيد السيد منسي</v>
          </cell>
          <cell r="H61"/>
          <cell r="I61">
            <v>5700</v>
          </cell>
          <cell r="J61">
            <v>300</v>
          </cell>
          <cell r="K61">
            <v>500</v>
          </cell>
          <cell r="L61"/>
          <cell r="M61">
            <v>500</v>
          </cell>
          <cell r="N61"/>
          <cell r="O61">
            <v>500</v>
          </cell>
          <cell r="P61"/>
          <cell r="Q61"/>
          <cell r="R61"/>
          <cell r="S61">
            <v>7500</v>
          </cell>
        </row>
        <row r="62">
          <cell r="B62">
            <v>35</v>
          </cell>
          <cell r="C62" t="str">
            <v>ديسمبر</v>
          </cell>
          <cell r="D62" t="str">
            <v>فيزا قاهرة</v>
          </cell>
          <cell r="E62" t="str">
            <v>ترقيم</v>
          </cell>
          <cell r="F62" t="str">
            <v>القص</v>
          </cell>
          <cell r="G62" t="str">
            <v>منه عبده احمد نوفل</v>
          </cell>
          <cell r="H62"/>
          <cell r="I62">
            <v>4100</v>
          </cell>
          <cell r="J62">
            <v>300</v>
          </cell>
          <cell r="K62">
            <v>800</v>
          </cell>
          <cell r="L62"/>
          <cell r="M62">
            <v>300</v>
          </cell>
          <cell r="N62"/>
          <cell r="O62">
            <v>500</v>
          </cell>
          <cell r="P62"/>
          <cell r="Q62"/>
          <cell r="R62"/>
          <cell r="S62">
            <v>6000</v>
          </cell>
        </row>
        <row r="63">
          <cell r="B63">
            <v>2463</v>
          </cell>
          <cell r="C63" t="str">
            <v>ديسمبر</v>
          </cell>
          <cell r="D63" t="str">
            <v>كاش</v>
          </cell>
          <cell r="E63" t="str">
            <v>امين مخزن الخيط</v>
          </cell>
          <cell r="F63" t="str">
            <v>مخازن</v>
          </cell>
          <cell r="G63" t="str">
            <v>محمد فاروق احمد لطفي حسن</v>
          </cell>
          <cell r="H63"/>
          <cell r="I63">
            <v>4900</v>
          </cell>
          <cell r="J63">
            <v>300</v>
          </cell>
          <cell r="K63"/>
          <cell r="L63"/>
          <cell r="M63">
            <v>300</v>
          </cell>
          <cell r="N63"/>
          <cell r="O63">
            <v>500</v>
          </cell>
          <cell r="P63"/>
          <cell r="Q63"/>
          <cell r="R63"/>
          <cell r="S63">
            <v>6000</v>
          </cell>
        </row>
        <row r="64">
          <cell r="B64">
            <v>3284</v>
          </cell>
          <cell r="C64" t="str">
            <v>يونيو</v>
          </cell>
          <cell r="D64" t="str">
            <v>فيزا قاهرة</v>
          </cell>
          <cell r="E64" t="str">
            <v>خيالة</v>
          </cell>
          <cell r="F64" t="str">
            <v>خط الظهر 1</v>
          </cell>
          <cell r="G64" t="str">
            <v>محمود محمد عبدالمطلب ابراهيم</v>
          </cell>
          <cell r="H64"/>
          <cell r="I64">
            <v>2600</v>
          </cell>
          <cell r="J64">
            <v>300</v>
          </cell>
          <cell r="K64">
            <v>600</v>
          </cell>
          <cell r="L64"/>
          <cell r="M64">
            <v>300</v>
          </cell>
          <cell r="N64"/>
          <cell r="O64"/>
          <cell r="P64"/>
          <cell r="Q64"/>
          <cell r="R64"/>
          <cell r="S64">
            <v>3800</v>
          </cell>
        </row>
        <row r="65">
          <cell r="B65">
            <v>2626</v>
          </cell>
          <cell r="C65" t="str">
            <v>نوفمبر</v>
          </cell>
          <cell r="D65" t="str">
            <v>فيزا اهلي</v>
          </cell>
          <cell r="E65" t="str">
            <v>مشرفة</v>
          </cell>
          <cell r="F65" t="str">
            <v>التجهيز</v>
          </cell>
          <cell r="G65" t="str">
            <v>شروق السيد محمد السيد</v>
          </cell>
          <cell r="H65"/>
          <cell r="I65">
            <v>5100</v>
          </cell>
          <cell r="J65">
            <v>300</v>
          </cell>
          <cell r="K65">
            <v>300</v>
          </cell>
          <cell r="L65"/>
          <cell r="M65">
            <v>300</v>
          </cell>
          <cell r="N65"/>
          <cell r="O65">
            <v>500</v>
          </cell>
          <cell r="P65"/>
          <cell r="Q65"/>
          <cell r="R65"/>
          <cell r="S65">
            <v>6500</v>
          </cell>
        </row>
        <row r="66">
          <cell r="B66">
            <v>3578</v>
          </cell>
          <cell r="C66" t="str">
            <v>لا يوجد</v>
          </cell>
          <cell r="D66" t="str">
            <v>كاش</v>
          </cell>
          <cell r="E66" t="str">
            <v>مقص دار</v>
          </cell>
          <cell r="F66" t="str">
            <v>القص</v>
          </cell>
          <cell r="G66" t="str">
            <v>محمد محمد سيد احمد نجم سيد احمد</v>
          </cell>
          <cell r="H66"/>
          <cell r="I66">
            <v>7000</v>
          </cell>
          <cell r="J66">
            <v>300</v>
          </cell>
          <cell r="K66">
            <v>1000</v>
          </cell>
          <cell r="L66"/>
          <cell r="M66">
            <v>1200</v>
          </cell>
          <cell r="N66"/>
          <cell r="O66">
            <v>500</v>
          </cell>
          <cell r="P66"/>
          <cell r="Q66"/>
          <cell r="R66"/>
          <cell r="S66">
            <v>10000</v>
          </cell>
        </row>
        <row r="67">
          <cell r="B67">
            <v>2461</v>
          </cell>
          <cell r="C67" t="str">
            <v>ديسمبر</v>
          </cell>
          <cell r="D67" t="str">
            <v>كاش</v>
          </cell>
          <cell r="E67" t="str">
            <v>فرد</v>
          </cell>
          <cell r="F67" t="str">
            <v>القص</v>
          </cell>
          <cell r="G67" t="str">
            <v xml:space="preserve">حمدي احمد احمد مقبل خليل </v>
          </cell>
          <cell r="H67"/>
          <cell r="I67">
            <v>3800</v>
          </cell>
          <cell r="J67">
            <v>300</v>
          </cell>
          <cell r="K67">
            <v>600</v>
          </cell>
          <cell r="L67"/>
          <cell r="M67">
            <v>300</v>
          </cell>
          <cell r="N67"/>
          <cell r="O67">
            <v>500</v>
          </cell>
          <cell r="P67"/>
          <cell r="Q67"/>
          <cell r="R67"/>
          <cell r="S67">
            <v>5500</v>
          </cell>
        </row>
        <row r="68">
          <cell r="B68">
            <v>3007</v>
          </cell>
          <cell r="C68" t="str">
            <v>يونيو</v>
          </cell>
          <cell r="D68" t="str">
            <v>فيزا قاهرة</v>
          </cell>
          <cell r="E68" t="str">
            <v>تثبيت</v>
          </cell>
          <cell r="F68" t="str">
            <v>خط الظهر 3</v>
          </cell>
          <cell r="G68" t="str">
            <v>جيهان محمد فهمي شمس الدين</v>
          </cell>
          <cell r="H68"/>
          <cell r="I68">
            <v>3200</v>
          </cell>
          <cell r="J68">
            <v>300</v>
          </cell>
          <cell r="K68">
            <v>300</v>
          </cell>
          <cell r="L68"/>
          <cell r="M68">
            <v>300</v>
          </cell>
          <cell r="N68"/>
          <cell r="O68"/>
          <cell r="P68"/>
          <cell r="Q68"/>
          <cell r="R68"/>
          <cell r="S68">
            <v>4100</v>
          </cell>
        </row>
        <row r="69">
          <cell r="B69">
            <v>3194</v>
          </cell>
          <cell r="C69" t="str">
            <v>أغسطس</v>
          </cell>
          <cell r="D69" t="str">
            <v>فيزا قاهرة</v>
          </cell>
          <cell r="E69" t="str">
            <v>جودة نهائي</v>
          </cell>
          <cell r="F69" t="str">
            <v>نهائي</v>
          </cell>
          <cell r="G69" t="str">
            <v>رحمة محمود احمد الجنيدي</v>
          </cell>
          <cell r="H69"/>
          <cell r="I69">
            <v>3500</v>
          </cell>
          <cell r="J69">
            <v>300</v>
          </cell>
          <cell r="K69">
            <v>500</v>
          </cell>
          <cell r="L69"/>
          <cell r="M69">
            <v>500</v>
          </cell>
          <cell r="N69"/>
          <cell r="O69"/>
          <cell r="P69"/>
          <cell r="Q69"/>
          <cell r="R69"/>
          <cell r="S69">
            <v>4800</v>
          </cell>
        </row>
        <row r="70">
          <cell r="B70">
            <v>3601</v>
          </cell>
          <cell r="C70" t="str">
            <v>لا يوجد</v>
          </cell>
          <cell r="D70" t="str">
            <v>كاش</v>
          </cell>
          <cell r="E70" t="str">
            <v>مساعدة</v>
          </cell>
          <cell r="F70" t="str">
            <v>خط الفنيش 2</v>
          </cell>
          <cell r="G70" t="str">
            <v>عواطف احمد محمد محمد سيد احمد</v>
          </cell>
          <cell r="H70"/>
          <cell r="I70">
            <v>2600</v>
          </cell>
          <cell r="J70">
            <v>300</v>
          </cell>
          <cell r="K70">
            <v>300</v>
          </cell>
          <cell r="L70"/>
          <cell r="M70">
            <v>300</v>
          </cell>
          <cell r="N70"/>
          <cell r="O70"/>
          <cell r="P70"/>
          <cell r="Q70"/>
          <cell r="R70"/>
          <cell r="S70">
            <v>3500</v>
          </cell>
        </row>
        <row r="71">
          <cell r="B71">
            <v>3112</v>
          </cell>
          <cell r="C71" t="str">
            <v>ديسمبر</v>
          </cell>
          <cell r="D71" t="str">
            <v>فيزا قاهرة</v>
          </cell>
          <cell r="E71" t="str">
            <v>اوفر حجر وجنب</v>
          </cell>
          <cell r="F71" t="str">
            <v>خط الفنيش 2</v>
          </cell>
          <cell r="G71" t="str">
            <v>رضا محمد علي تمراز الكناني</v>
          </cell>
          <cell r="H71"/>
          <cell r="I71">
            <v>5800</v>
          </cell>
          <cell r="J71">
            <v>300</v>
          </cell>
          <cell r="K71">
            <v>800</v>
          </cell>
          <cell r="L71"/>
          <cell r="M71">
            <v>300</v>
          </cell>
          <cell r="N71"/>
          <cell r="O71"/>
          <cell r="P71"/>
          <cell r="Q71"/>
          <cell r="R71"/>
          <cell r="S71">
            <v>7200</v>
          </cell>
        </row>
        <row r="72">
          <cell r="B72">
            <v>3602</v>
          </cell>
          <cell r="C72" t="str">
            <v>لا يوجد</v>
          </cell>
          <cell r="D72" t="str">
            <v>كاش</v>
          </cell>
          <cell r="E72" t="str">
            <v>مساعدة</v>
          </cell>
          <cell r="F72" t="str">
            <v>خط الفنيش 3</v>
          </cell>
          <cell r="G72" t="str">
            <v>شيماء شحاتة حمدي محمد احمد</v>
          </cell>
          <cell r="H72"/>
          <cell r="I72">
            <v>2600</v>
          </cell>
          <cell r="J72">
            <v>300</v>
          </cell>
          <cell r="K72">
            <v>300</v>
          </cell>
          <cell r="L72"/>
          <cell r="M72">
            <v>300</v>
          </cell>
          <cell r="N72"/>
          <cell r="O72"/>
          <cell r="P72"/>
          <cell r="Q72"/>
          <cell r="R72"/>
          <cell r="S72">
            <v>3500</v>
          </cell>
        </row>
        <row r="73">
          <cell r="B73">
            <v>2217</v>
          </cell>
          <cell r="C73" t="str">
            <v>لا يوجد</v>
          </cell>
          <cell r="D73" t="str">
            <v>فيزا قاهرة</v>
          </cell>
          <cell r="E73" t="str">
            <v>تشييم جنب</v>
          </cell>
          <cell r="F73" t="str">
            <v>خط الفنيش 3</v>
          </cell>
          <cell r="G73" t="str">
            <v>مختار احمد مختار</v>
          </cell>
          <cell r="H73"/>
          <cell r="I73">
            <v>5200</v>
          </cell>
          <cell r="J73">
            <v>300</v>
          </cell>
          <cell r="K73">
            <v>500</v>
          </cell>
          <cell r="L73"/>
          <cell r="M73">
            <v>500</v>
          </cell>
          <cell r="N73"/>
          <cell r="O73"/>
          <cell r="P73"/>
          <cell r="Q73"/>
          <cell r="R73"/>
          <cell r="S73">
            <v>6500</v>
          </cell>
        </row>
        <row r="74">
          <cell r="B74">
            <v>3275</v>
          </cell>
          <cell r="C74" t="str">
            <v>ديسمبر</v>
          </cell>
          <cell r="D74" t="str">
            <v>فيزا قاهرة</v>
          </cell>
          <cell r="E74" t="str">
            <v>جيب شق</v>
          </cell>
          <cell r="F74" t="str">
            <v>خط الظهر 1</v>
          </cell>
          <cell r="G74" t="str">
            <v>احمد محمد ابو العينين السيد</v>
          </cell>
          <cell r="H74"/>
          <cell r="I74">
            <v>3600</v>
          </cell>
          <cell r="J74">
            <v>300</v>
          </cell>
          <cell r="K74">
            <v>300</v>
          </cell>
          <cell r="L74"/>
          <cell r="M74">
            <v>300</v>
          </cell>
          <cell r="N74"/>
          <cell r="O74"/>
          <cell r="P74"/>
          <cell r="Q74"/>
          <cell r="R74"/>
          <cell r="S74">
            <v>4500</v>
          </cell>
        </row>
        <row r="75">
          <cell r="B75">
            <v>2717</v>
          </cell>
          <cell r="C75" t="str">
            <v>يونيو</v>
          </cell>
          <cell r="D75" t="str">
            <v>فيزا قاهرة</v>
          </cell>
          <cell r="E75" t="str">
            <v>تشطيب</v>
          </cell>
          <cell r="F75" t="str">
            <v>التشطيب</v>
          </cell>
          <cell r="G75" t="str">
            <v>سماح محمد عبدالله محمد</v>
          </cell>
          <cell r="H75"/>
          <cell r="I75">
            <v>2900</v>
          </cell>
          <cell r="J75">
            <v>300</v>
          </cell>
          <cell r="K75">
            <v>300</v>
          </cell>
          <cell r="L75"/>
          <cell r="M75">
            <v>200</v>
          </cell>
          <cell r="N75"/>
          <cell r="O75"/>
          <cell r="P75"/>
          <cell r="Q75"/>
          <cell r="R75"/>
          <cell r="S75">
            <v>3700</v>
          </cell>
        </row>
        <row r="76">
          <cell r="B76">
            <v>3217</v>
          </cell>
          <cell r="C76" t="str">
            <v>لا يوجد</v>
          </cell>
          <cell r="D76" t="str">
            <v>فيزا قاهرة</v>
          </cell>
          <cell r="E76" t="str">
            <v>خياطة</v>
          </cell>
          <cell r="F76" t="str">
            <v>خط الصدر 2</v>
          </cell>
          <cell r="G76" t="str">
            <v>لميس محمد ابراهيم علي جاد الله</v>
          </cell>
          <cell r="H76"/>
          <cell r="I76">
            <v>4100</v>
          </cell>
          <cell r="J76">
            <v>300</v>
          </cell>
          <cell r="K76">
            <v>300</v>
          </cell>
          <cell r="L76"/>
          <cell r="M76">
            <v>300</v>
          </cell>
          <cell r="N76"/>
          <cell r="O76"/>
          <cell r="P76"/>
          <cell r="Q76"/>
          <cell r="R76"/>
          <cell r="S76">
            <v>5000</v>
          </cell>
        </row>
        <row r="77">
          <cell r="B77">
            <v>3559</v>
          </cell>
          <cell r="C77" t="str">
            <v>لا يوجد</v>
          </cell>
          <cell r="D77" t="str">
            <v>كاش</v>
          </cell>
          <cell r="E77" t="str">
            <v>فرد</v>
          </cell>
          <cell r="F77" t="str">
            <v>القص</v>
          </cell>
          <cell r="G77" t="str">
            <v>مسعد ابو بكر علي علي</v>
          </cell>
          <cell r="H77"/>
          <cell r="I77">
            <v>4600</v>
          </cell>
          <cell r="J77">
            <v>300</v>
          </cell>
          <cell r="K77">
            <v>300</v>
          </cell>
          <cell r="L77">
            <v>150</v>
          </cell>
          <cell r="M77">
            <v>300</v>
          </cell>
          <cell r="N77"/>
          <cell r="O77"/>
          <cell r="P77"/>
          <cell r="Q77"/>
          <cell r="R77"/>
          <cell r="S77">
            <v>5650</v>
          </cell>
        </row>
        <row r="78">
          <cell r="B78">
            <v>2635</v>
          </cell>
          <cell r="C78" t="str">
            <v>يونيو</v>
          </cell>
          <cell r="D78" t="str">
            <v>فيزا قاهرة</v>
          </cell>
          <cell r="E78" t="str">
            <v>فزلين</v>
          </cell>
          <cell r="F78" t="str">
            <v>المكواه</v>
          </cell>
          <cell r="G78" t="str">
            <v>محمد السيد محمد مقبل خليل</v>
          </cell>
          <cell r="H78"/>
          <cell r="I78">
            <v>3300</v>
          </cell>
          <cell r="J78">
            <v>300</v>
          </cell>
          <cell r="K78"/>
          <cell r="L78">
            <v>150</v>
          </cell>
          <cell r="M78">
            <v>200</v>
          </cell>
          <cell r="N78"/>
          <cell r="O78">
            <v>500</v>
          </cell>
          <cell r="P78"/>
          <cell r="Q78"/>
          <cell r="R78"/>
          <cell r="S78">
            <v>4450</v>
          </cell>
        </row>
        <row r="79">
          <cell r="B79">
            <v>1020</v>
          </cell>
          <cell r="C79" t="str">
            <v>لا يوجد</v>
          </cell>
          <cell r="D79" t="str">
            <v>فيزا قاهرة</v>
          </cell>
          <cell r="E79" t="str">
            <v>جودة خط 3</v>
          </cell>
          <cell r="F79" t="str">
            <v>الجودة</v>
          </cell>
          <cell r="G79" t="str">
            <v>احمد عبد الله احمد احمد</v>
          </cell>
          <cell r="H79"/>
          <cell r="I79">
            <v>5500</v>
          </cell>
          <cell r="J79">
            <v>300</v>
          </cell>
          <cell r="K79">
            <v>1000</v>
          </cell>
          <cell r="L79">
            <v>200</v>
          </cell>
          <cell r="M79">
            <v>1000</v>
          </cell>
          <cell r="N79"/>
          <cell r="O79">
            <v>1000</v>
          </cell>
          <cell r="P79"/>
          <cell r="Q79"/>
          <cell r="R79"/>
          <cell r="S79">
            <v>9000</v>
          </cell>
        </row>
        <row r="80">
          <cell r="B80">
            <v>2188</v>
          </cell>
          <cell r="C80" t="str">
            <v>يوليو</v>
          </cell>
          <cell r="D80" t="str">
            <v>كاش</v>
          </cell>
          <cell r="E80" t="str">
            <v>جيب شق</v>
          </cell>
          <cell r="F80" t="str">
            <v>خط الظهر 1</v>
          </cell>
          <cell r="G80" t="str">
            <v>محمد فاروق فاروق محمد صالح</v>
          </cell>
          <cell r="H80"/>
          <cell r="I80">
            <v>5100</v>
          </cell>
          <cell r="J80">
            <v>300</v>
          </cell>
          <cell r="K80">
            <v>300</v>
          </cell>
          <cell r="L80"/>
          <cell r="M80">
            <v>300</v>
          </cell>
          <cell r="N80"/>
          <cell r="O80"/>
          <cell r="P80"/>
          <cell r="Q80"/>
          <cell r="R80"/>
          <cell r="S80">
            <v>6000</v>
          </cell>
        </row>
        <row r="81">
          <cell r="B81">
            <v>2594</v>
          </cell>
          <cell r="C81" t="str">
            <v>ديسمبر</v>
          </cell>
          <cell r="D81" t="str">
            <v>فيزا قاهرة</v>
          </cell>
          <cell r="E81" t="str">
            <v>مشرفة جودة خط 1</v>
          </cell>
          <cell r="F81" t="str">
            <v>الجودة</v>
          </cell>
          <cell r="G81" t="str">
            <v>شيماء عزت عزت السيد حال</v>
          </cell>
          <cell r="H81"/>
          <cell r="I81">
            <v>5300</v>
          </cell>
          <cell r="J81">
            <v>300</v>
          </cell>
          <cell r="K81">
            <v>200</v>
          </cell>
          <cell r="L81"/>
          <cell r="M81">
            <v>200</v>
          </cell>
          <cell r="N81"/>
          <cell r="O81">
            <v>500</v>
          </cell>
          <cell r="P81"/>
          <cell r="Q81"/>
          <cell r="R81"/>
          <cell r="S81">
            <v>6500</v>
          </cell>
        </row>
        <row r="82">
          <cell r="B82">
            <v>0</v>
          </cell>
          <cell r="C82" t="str">
            <v>لا يوجد</v>
          </cell>
          <cell r="D82" t="str">
            <v>كاش</v>
          </cell>
          <cell r="E82">
            <v>0</v>
          </cell>
          <cell r="F82">
            <v>0</v>
          </cell>
          <cell r="G82">
            <v>0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>
            <v>0</v>
          </cell>
        </row>
        <row r="83">
          <cell r="B83">
            <v>2650</v>
          </cell>
          <cell r="C83" t="str">
            <v>يوليو</v>
          </cell>
          <cell r="D83" t="str">
            <v>فيزا قاهرة</v>
          </cell>
          <cell r="E83" t="str">
            <v xml:space="preserve">تثبيت جيب </v>
          </cell>
          <cell r="F83" t="str">
            <v>خط الصدر 3</v>
          </cell>
          <cell r="G83" t="str">
            <v>سماح محمد جمال الخضري</v>
          </cell>
          <cell r="H83"/>
          <cell r="I83">
            <v>4100</v>
          </cell>
          <cell r="J83">
            <v>300</v>
          </cell>
          <cell r="K83">
            <v>800</v>
          </cell>
          <cell r="L83"/>
          <cell r="M83">
            <v>300</v>
          </cell>
          <cell r="N83"/>
          <cell r="O83">
            <v>500</v>
          </cell>
          <cell r="P83"/>
          <cell r="Q83"/>
          <cell r="R83"/>
          <cell r="S83">
            <v>6000</v>
          </cell>
        </row>
        <row r="84">
          <cell r="B84">
            <v>3286</v>
          </cell>
          <cell r="C84" t="str">
            <v>ديسمبر</v>
          </cell>
          <cell r="D84" t="str">
            <v>فيزا قاهرة</v>
          </cell>
          <cell r="E84" t="str">
            <v>دراسة العمل</v>
          </cell>
          <cell r="F84" t="str">
            <v>الإدارة</v>
          </cell>
          <cell r="G84" t="str">
            <v>حنان محمد عبده السيد النجدي</v>
          </cell>
          <cell r="H84"/>
          <cell r="I84">
            <v>5400</v>
          </cell>
          <cell r="J84">
            <v>300</v>
          </cell>
          <cell r="K84">
            <v>300</v>
          </cell>
          <cell r="L84"/>
          <cell r="M84">
            <v>500</v>
          </cell>
          <cell r="N84"/>
          <cell r="O84"/>
          <cell r="P84"/>
          <cell r="Q84"/>
          <cell r="R84"/>
          <cell r="S84">
            <v>6500</v>
          </cell>
        </row>
        <row r="85">
          <cell r="B85">
            <v>3288</v>
          </cell>
          <cell r="C85" t="str">
            <v>ديسمبر</v>
          </cell>
          <cell r="D85" t="str">
            <v>كاش</v>
          </cell>
          <cell r="E85" t="str">
            <v>الإدارة الفنية</v>
          </cell>
          <cell r="F85" t="str">
            <v>الإدارة الفنية</v>
          </cell>
          <cell r="G85" t="str">
            <v>سيد محمد الصديق ابراهيم علي</v>
          </cell>
          <cell r="H85"/>
          <cell r="I85">
            <v>5300</v>
          </cell>
          <cell r="J85">
            <v>300</v>
          </cell>
          <cell r="K85">
            <v>300</v>
          </cell>
          <cell r="L85"/>
          <cell r="M85">
            <v>300</v>
          </cell>
          <cell r="N85"/>
          <cell r="O85"/>
          <cell r="P85"/>
          <cell r="Q85"/>
          <cell r="R85"/>
          <cell r="S85">
            <v>6200</v>
          </cell>
        </row>
        <row r="86">
          <cell r="B86">
            <v>2125</v>
          </cell>
          <cell r="C86" t="str">
            <v>يونيو</v>
          </cell>
          <cell r="D86" t="str">
            <v>فيزا قاهرة</v>
          </cell>
          <cell r="E86" t="str">
            <v>خياطة</v>
          </cell>
          <cell r="F86" t="str">
            <v>خط الظهر 1</v>
          </cell>
          <cell r="G86" t="str">
            <v>هدى منجد</v>
          </cell>
          <cell r="H86"/>
          <cell r="I86">
            <v>5200</v>
          </cell>
          <cell r="J86">
            <v>300</v>
          </cell>
          <cell r="K86">
            <v>1000</v>
          </cell>
          <cell r="L86"/>
          <cell r="M86">
            <v>500</v>
          </cell>
          <cell r="N86"/>
          <cell r="O86">
            <v>500</v>
          </cell>
          <cell r="P86"/>
          <cell r="Q86"/>
          <cell r="R86"/>
          <cell r="S86">
            <v>7500</v>
          </cell>
        </row>
        <row r="87">
          <cell r="B87">
            <v>2265</v>
          </cell>
          <cell r="C87" t="str">
            <v>لا يوجد</v>
          </cell>
          <cell r="D87" t="str">
            <v>كاش</v>
          </cell>
          <cell r="E87" t="str">
            <v>اشراف جودة</v>
          </cell>
          <cell r="F87" t="str">
            <v>الجودة</v>
          </cell>
          <cell r="G87" t="str">
            <v>معاطي ابو المعاطي محمد احمد</v>
          </cell>
          <cell r="H87"/>
          <cell r="I87">
            <v>5500</v>
          </cell>
          <cell r="J87">
            <v>300</v>
          </cell>
          <cell r="K87">
            <v>1000</v>
          </cell>
          <cell r="L87">
            <v>200</v>
          </cell>
          <cell r="M87">
            <v>1000</v>
          </cell>
          <cell r="N87"/>
          <cell r="O87">
            <v>1000</v>
          </cell>
          <cell r="P87"/>
          <cell r="Q87"/>
          <cell r="R87"/>
          <cell r="S87">
            <v>9000</v>
          </cell>
        </row>
        <row r="88">
          <cell r="B88">
            <v>2562</v>
          </cell>
          <cell r="C88" t="str">
            <v>أبريل</v>
          </cell>
          <cell r="D88" t="str">
            <v>كاش</v>
          </cell>
          <cell r="E88" t="str">
            <v>تشييم بطانة</v>
          </cell>
          <cell r="F88" t="str">
            <v>خط الصدر 2</v>
          </cell>
          <cell r="G88" t="str">
            <v>نجفه عبده عبد الغفار مصطفى</v>
          </cell>
          <cell r="H88"/>
          <cell r="I88">
            <v>4700</v>
          </cell>
          <cell r="J88">
            <v>300</v>
          </cell>
          <cell r="K88">
            <v>500</v>
          </cell>
          <cell r="L88"/>
          <cell r="M88">
            <v>500</v>
          </cell>
          <cell r="N88"/>
          <cell r="O88"/>
          <cell r="P88"/>
          <cell r="Q88"/>
          <cell r="R88"/>
          <cell r="S88">
            <v>6000</v>
          </cell>
        </row>
        <row r="89">
          <cell r="B89">
            <v>3118</v>
          </cell>
          <cell r="C89" t="str">
            <v>ديسمبر</v>
          </cell>
          <cell r="D89" t="str">
            <v>كاش</v>
          </cell>
          <cell r="E89" t="str">
            <v>خدمات</v>
          </cell>
          <cell r="F89" t="str">
            <v>خدمات</v>
          </cell>
          <cell r="G89" t="str">
            <v>انهام السيد السيد سليم</v>
          </cell>
          <cell r="H89"/>
          <cell r="I89">
            <v>3500</v>
          </cell>
          <cell r="J89">
            <v>300</v>
          </cell>
          <cell r="K89">
            <v>300</v>
          </cell>
          <cell r="L89"/>
          <cell r="M89">
            <v>300</v>
          </cell>
          <cell r="N89"/>
          <cell r="O89"/>
          <cell r="P89"/>
          <cell r="Q89"/>
          <cell r="R89"/>
          <cell r="S89">
            <v>4400</v>
          </cell>
        </row>
        <row r="90">
          <cell r="B90">
            <v>3034</v>
          </cell>
          <cell r="C90" t="str">
            <v>ديسمبر</v>
          </cell>
          <cell r="D90" t="str">
            <v>فيزا قاهرة</v>
          </cell>
          <cell r="E90" t="str">
            <v>مساعدة</v>
          </cell>
          <cell r="F90" t="str">
            <v>خط الظهر 1</v>
          </cell>
          <cell r="G90" t="str">
            <v>فاطمة السعيد علي السيد حسانين</v>
          </cell>
          <cell r="H90"/>
          <cell r="I90">
            <v>3350</v>
          </cell>
          <cell r="J90">
            <v>300</v>
          </cell>
          <cell r="K90"/>
          <cell r="L90">
            <v>150</v>
          </cell>
          <cell r="M90">
            <v>200</v>
          </cell>
          <cell r="N90"/>
          <cell r="O90"/>
          <cell r="P90"/>
          <cell r="Q90"/>
          <cell r="R90"/>
          <cell r="S90">
            <v>4000</v>
          </cell>
        </row>
        <row r="91">
          <cell r="B91">
            <v>3558</v>
          </cell>
          <cell r="C91" t="str">
            <v>لا يوجد</v>
          </cell>
          <cell r="D91" t="str">
            <v>كاش</v>
          </cell>
          <cell r="E91" t="str">
            <v>فرد</v>
          </cell>
          <cell r="F91" t="str">
            <v>القص</v>
          </cell>
          <cell r="G91" t="str">
            <v>محمد السيد محمد محمد ابو المعاطي</v>
          </cell>
          <cell r="H91"/>
          <cell r="I91">
            <v>4600</v>
          </cell>
          <cell r="J91">
            <v>300</v>
          </cell>
          <cell r="K91">
            <v>300</v>
          </cell>
          <cell r="L91">
            <v>150</v>
          </cell>
          <cell r="M91">
            <v>300</v>
          </cell>
          <cell r="N91"/>
          <cell r="O91"/>
          <cell r="P91"/>
          <cell r="Q91"/>
          <cell r="R91"/>
          <cell r="S91">
            <v>5650</v>
          </cell>
        </row>
        <row r="92">
          <cell r="B92">
            <v>3604</v>
          </cell>
          <cell r="C92" t="str">
            <v>لا يوجد</v>
          </cell>
          <cell r="D92" t="str">
            <v>كاش</v>
          </cell>
          <cell r="E92" t="str">
            <v>خارج العمل</v>
          </cell>
          <cell r="F92" t="str">
            <v>خارج العمل</v>
          </cell>
          <cell r="G92" t="str">
            <v>اسماء عبده محمد عبده الدسوقي</v>
          </cell>
          <cell r="H92"/>
          <cell r="I92">
            <v>4200</v>
          </cell>
          <cell r="J92">
            <v>300</v>
          </cell>
          <cell r="K92">
            <v>500</v>
          </cell>
          <cell r="L92"/>
          <cell r="M92">
            <v>500</v>
          </cell>
          <cell r="N92"/>
          <cell r="O92">
            <v>500</v>
          </cell>
          <cell r="P92"/>
          <cell r="Q92"/>
          <cell r="R92"/>
          <cell r="S92">
            <v>6000</v>
          </cell>
        </row>
        <row r="93">
          <cell r="B93">
            <v>2756</v>
          </cell>
          <cell r="C93" t="str">
            <v>يونيو</v>
          </cell>
          <cell r="D93" t="str">
            <v>فيزا قاهرة</v>
          </cell>
          <cell r="E93" t="str">
            <v>كشتورة</v>
          </cell>
          <cell r="F93" t="str">
            <v>خط الفنيش 2</v>
          </cell>
          <cell r="G93" t="str">
            <v>مي شعبان السيد عوض</v>
          </cell>
          <cell r="H93"/>
          <cell r="I93">
            <v>3100</v>
          </cell>
          <cell r="J93">
            <v>300</v>
          </cell>
          <cell r="K93">
            <v>800</v>
          </cell>
          <cell r="L93"/>
          <cell r="M93">
            <v>300</v>
          </cell>
          <cell r="N93"/>
          <cell r="O93"/>
          <cell r="P93"/>
          <cell r="Q93"/>
          <cell r="R93"/>
          <cell r="S93">
            <v>4500</v>
          </cell>
        </row>
        <row r="94">
          <cell r="B94">
            <v>3481</v>
          </cell>
          <cell r="C94" t="str">
            <v>لا يوجد</v>
          </cell>
          <cell r="D94" t="str">
            <v>فيزا قاهرة</v>
          </cell>
          <cell r="E94" t="str">
            <v>جودة نهائي</v>
          </cell>
          <cell r="F94" t="str">
            <v>نهائي</v>
          </cell>
          <cell r="G94" t="str">
            <v>سارة حلمي محمد عبداللطيف</v>
          </cell>
          <cell r="H94"/>
          <cell r="I94">
            <v>3200</v>
          </cell>
          <cell r="J94">
            <v>300</v>
          </cell>
          <cell r="K94">
            <v>500</v>
          </cell>
          <cell r="L94"/>
          <cell r="M94">
            <v>500</v>
          </cell>
          <cell r="N94"/>
          <cell r="O94"/>
          <cell r="P94"/>
          <cell r="Q94"/>
          <cell r="R94"/>
          <cell r="S94">
            <v>4500</v>
          </cell>
        </row>
        <row r="95">
          <cell r="B95">
            <v>3231</v>
          </cell>
          <cell r="C95" t="str">
            <v>يونيو</v>
          </cell>
          <cell r="D95" t="str">
            <v>فيزا قاهرة</v>
          </cell>
          <cell r="E95" t="str">
            <v>فرماتورة</v>
          </cell>
          <cell r="F95" t="str">
            <v>عراوي</v>
          </cell>
          <cell r="G95" t="str">
            <v>شهد عبده عبدالحليم عبده</v>
          </cell>
          <cell r="H95"/>
          <cell r="I95">
            <v>4700</v>
          </cell>
          <cell r="J95">
            <v>300</v>
          </cell>
          <cell r="K95">
            <v>500</v>
          </cell>
          <cell r="L95"/>
          <cell r="M95">
            <v>500</v>
          </cell>
          <cell r="N95"/>
          <cell r="O95"/>
          <cell r="P95"/>
          <cell r="Q95"/>
          <cell r="R95"/>
          <cell r="S95">
            <v>6000</v>
          </cell>
        </row>
        <row r="96">
          <cell r="B96">
            <v>3418</v>
          </cell>
          <cell r="C96" t="str">
            <v>لا يوجد</v>
          </cell>
          <cell r="D96" t="str">
            <v>كاش</v>
          </cell>
          <cell r="E96" t="str">
            <v>مكواه نهائي</v>
          </cell>
          <cell r="F96" t="str">
            <v>نهائي</v>
          </cell>
          <cell r="G96" t="str">
            <v>احمد محمد حسن محمد عبدالرحمن</v>
          </cell>
          <cell r="H96"/>
          <cell r="I96">
            <v>3200</v>
          </cell>
          <cell r="J96">
            <v>300</v>
          </cell>
          <cell r="K96">
            <v>500</v>
          </cell>
          <cell r="L96"/>
          <cell r="M96">
            <v>500</v>
          </cell>
          <cell r="N96"/>
          <cell r="O96"/>
          <cell r="P96"/>
          <cell r="Q96"/>
          <cell r="R96"/>
          <cell r="S96">
            <v>4500</v>
          </cell>
        </row>
        <row r="97">
          <cell r="B97">
            <v>1042</v>
          </cell>
          <cell r="C97" t="str">
            <v>أغسطس</v>
          </cell>
          <cell r="D97" t="str">
            <v>كاش</v>
          </cell>
          <cell r="E97" t="str">
            <v>اصلاح</v>
          </cell>
          <cell r="F97" t="str">
            <v>نهائي</v>
          </cell>
          <cell r="G97" t="str">
            <v>تمام رياض البيومى مجاهد</v>
          </cell>
          <cell r="H97"/>
          <cell r="I97">
            <v>4700</v>
          </cell>
          <cell r="J97">
            <v>300</v>
          </cell>
          <cell r="K97">
            <v>500</v>
          </cell>
          <cell r="L97"/>
          <cell r="M97">
            <v>500</v>
          </cell>
          <cell r="N97"/>
          <cell r="O97"/>
          <cell r="P97"/>
          <cell r="Q97"/>
          <cell r="R97"/>
          <cell r="S97">
            <v>6000</v>
          </cell>
        </row>
        <row r="98">
          <cell r="B98">
            <v>3212</v>
          </cell>
          <cell r="C98" t="str">
            <v>يونيو</v>
          </cell>
          <cell r="D98" t="str">
            <v>كاش</v>
          </cell>
          <cell r="E98" t="str">
            <v>ابرة واحدة مراحل الصدر</v>
          </cell>
          <cell r="F98" t="str">
            <v>خط الصدر 1</v>
          </cell>
          <cell r="G98" t="str">
            <v>سلامة حسن ابراهيم ابو الخير</v>
          </cell>
          <cell r="H98"/>
          <cell r="I98">
            <v>4700</v>
          </cell>
          <cell r="J98">
            <v>300</v>
          </cell>
          <cell r="K98">
            <v>1000</v>
          </cell>
          <cell r="L98"/>
          <cell r="M98">
            <v>1000</v>
          </cell>
          <cell r="N98"/>
          <cell r="O98">
            <v>500</v>
          </cell>
          <cell r="P98"/>
          <cell r="Q98"/>
          <cell r="R98"/>
          <cell r="S98">
            <v>7500</v>
          </cell>
        </row>
        <row r="99">
          <cell r="B99">
            <v>2677</v>
          </cell>
          <cell r="C99" t="str">
            <v>لا يوجد</v>
          </cell>
          <cell r="D99" t="str">
            <v>كاش</v>
          </cell>
          <cell r="E99" t="str">
            <v>تعبئة</v>
          </cell>
          <cell r="F99" t="str">
            <v>نهائي</v>
          </cell>
          <cell r="G99" t="str">
            <v>محمد احمد عبدالباري محمد</v>
          </cell>
          <cell r="H99"/>
          <cell r="I99">
            <v>4100</v>
          </cell>
          <cell r="J99">
            <v>300</v>
          </cell>
          <cell r="K99">
            <v>300</v>
          </cell>
          <cell r="L99"/>
          <cell r="M99">
            <v>300</v>
          </cell>
          <cell r="N99"/>
          <cell r="O99">
            <v>500</v>
          </cell>
          <cell r="P99"/>
          <cell r="Q99"/>
          <cell r="R99"/>
          <cell r="S99">
            <v>5500</v>
          </cell>
        </row>
        <row r="100">
          <cell r="B100">
            <v>0</v>
          </cell>
          <cell r="C100" t="str">
            <v>لا يوجد</v>
          </cell>
          <cell r="D100" t="str">
            <v>كاش</v>
          </cell>
          <cell r="E100">
            <v>0</v>
          </cell>
          <cell r="F100">
            <v>0</v>
          </cell>
          <cell r="G100">
            <v>0</v>
          </cell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>
            <v>0</v>
          </cell>
        </row>
        <row r="101">
          <cell r="B101">
            <v>0</v>
          </cell>
          <cell r="C101" t="str">
            <v>لا يوجد</v>
          </cell>
          <cell r="D101" t="str">
            <v>كاش</v>
          </cell>
          <cell r="E101">
            <v>0</v>
          </cell>
          <cell r="F101">
            <v>0</v>
          </cell>
          <cell r="G101">
            <v>0</v>
          </cell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>
            <v>0</v>
          </cell>
        </row>
        <row r="102">
          <cell r="B102">
            <v>3483</v>
          </cell>
          <cell r="C102" t="str">
            <v>لا يوجد</v>
          </cell>
          <cell r="D102" t="str">
            <v>كاش</v>
          </cell>
          <cell r="E102" t="str">
            <v>كبسول</v>
          </cell>
          <cell r="F102" t="str">
            <v>نهائي</v>
          </cell>
          <cell r="G102" t="str">
            <v>امير عبداللطيف احمد هاشم</v>
          </cell>
          <cell r="H102"/>
          <cell r="I102">
            <v>4200</v>
          </cell>
          <cell r="J102">
            <v>300</v>
          </cell>
          <cell r="K102">
            <v>500</v>
          </cell>
          <cell r="L102"/>
          <cell r="M102">
            <v>500</v>
          </cell>
          <cell r="N102"/>
          <cell r="O102">
            <v>500</v>
          </cell>
          <cell r="P102"/>
          <cell r="Q102"/>
          <cell r="R102"/>
          <cell r="S102">
            <v>6000</v>
          </cell>
        </row>
        <row r="103">
          <cell r="B103">
            <v>2041</v>
          </cell>
          <cell r="C103" t="str">
            <v>نوفمبر</v>
          </cell>
          <cell r="D103" t="str">
            <v>فيزا اهلي</v>
          </cell>
          <cell r="E103" t="str">
            <v>كمر</v>
          </cell>
          <cell r="F103" t="str">
            <v>خط الظهر 2</v>
          </cell>
          <cell r="G103" t="str">
            <v xml:space="preserve">احمد الزيني </v>
          </cell>
          <cell r="H103"/>
          <cell r="I103">
            <v>6600</v>
          </cell>
          <cell r="J103">
            <v>300</v>
          </cell>
          <cell r="K103">
            <v>800</v>
          </cell>
          <cell r="L103"/>
          <cell r="M103">
            <v>300</v>
          </cell>
          <cell r="N103"/>
          <cell r="O103">
            <v>500</v>
          </cell>
          <cell r="P103"/>
          <cell r="Q103"/>
          <cell r="R103"/>
          <cell r="S103">
            <v>8500</v>
          </cell>
        </row>
        <row r="104">
          <cell r="B104">
            <v>3482</v>
          </cell>
          <cell r="C104" t="str">
            <v>لا يوجد</v>
          </cell>
          <cell r="D104" t="str">
            <v>فيزا قاهرة</v>
          </cell>
          <cell r="E104" t="str">
            <v>مشرفة انتاج عام خط 3</v>
          </cell>
          <cell r="F104" t="str">
            <v>الإدارة</v>
          </cell>
          <cell r="G104" t="str">
            <v>مروة محمد افراج محمد حمدي</v>
          </cell>
          <cell r="H104"/>
          <cell r="I104">
            <v>8700</v>
          </cell>
          <cell r="J104">
            <v>300</v>
          </cell>
          <cell r="K104">
            <v>2000</v>
          </cell>
          <cell r="L104"/>
          <cell r="M104">
            <v>2000</v>
          </cell>
          <cell r="N104"/>
          <cell r="O104">
            <v>2000</v>
          </cell>
          <cell r="P104"/>
          <cell r="Q104"/>
          <cell r="R104"/>
          <cell r="S104">
            <v>15000</v>
          </cell>
        </row>
        <row r="105">
          <cell r="B105">
            <v>2553</v>
          </cell>
          <cell r="C105" t="str">
            <v>يوليو</v>
          </cell>
          <cell r="D105" t="str">
            <v>فيزا قاهرة</v>
          </cell>
          <cell r="E105" t="str">
            <v>اوفر بطانة</v>
          </cell>
          <cell r="F105" t="str">
            <v>خط الفنيش 2</v>
          </cell>
          <cell r="G105" t="str">
            <v>كريم السيد احمد السيد شطا</v>
          </cell>
          <cell r="H105">
            <v>457</v>
          </cell>
          <cell r="I105">
            <v>3550</v>
          </cell>
          <cell r="J105">
            <v>300</v>
          </cell>
          <cell r="K105">
            <v>300</v>
          </cell>
          <cell r="L105">
            <v>150</v>
          </cell>
          <cell r="M105">
            <v>200</v>
          </cell>
          <cell r="N105"/>
          <cell r="O105">
            <v>500</v>
          </cell>
          <cell r="P105"/>
          <cell r="Q105"/>
          <cell r="R105"/>
          <cell r="S105">
            <v>5000</v>
          </cell>
        </row>
        <row r="106">
          <cell r="B106">
            <v>3082</v>
          </cell>
          <cell r="C106" t="str">
            <v>يناير</v>
          </cell>
          <cell r="D106" t="str">
            <v>فيزا قاهرة</v>
          </cell>
          <cell r="E106" t="str">
            <v>تفتيح كمر</v>
          </cell>
          <cell r="F106" t="str">
            <v>خط الفنيش 3</v>
          </cell>
          <cell r="G106" t="str">
            <v>حنان عبده عبدالحميد احمد الشاذلي</v>
          </cell>
          <cell r="H106"/>
          <cell r="I106">
            <v>2400</v>
          </cell>
          <cell r="J106">
            <v>300</v>
          </cell>
          <cell r="K106">
            <v>300</v>
          </cell>
          <cell r="L106"/>
          <cell r="M106">
            <v>500</v>
          </cell>
          <cell r="N106"/>
          <cell r="O106"/>
          <cell r="P106"/>
          <cell r="Q106"/>
          <cell r="R106"/>
          <cell r="S106">
            <v>3500</v>
          </cell>
        </row>
        <row r="107">
          <cell r="B107">
            <v>3557</v>
          </cell>
          <cell r="C107" t="str">
            <v>لا يوجد</v>
          </cell>
          <cell r="D107" t="str">
            <v>كاش</v>
          </cell>
          <cell r="E107" t="str">
            <v>مساعدة</v>
          </cell>
          <cell r="F107" t="str">
            <v>خط الظهر 3</v>
          </cell>
          <cell r="G107" t="str">
            <v>امل السيد محمد علي فرج</v>
          </cell>
          <cell r="H107"/>
          <cell r="I107">
            <v>3100</v>
          </cell>
          <cell r="J107">
            <v>300</v>
          </cell>
          <cell r="K107">
            <v>300</v>
          </cell>
          <cell r="L107"/>
          <cell r="M107">
            <v>300</v>
          </cell>
          <cell r="N107"/>
          <cell r="O107"/>
          <cell r="P107"/>
          <cell r="Q107"/>
          <cell r="R107"/>
          <cell r="S107">
            <v>4000</v>
          </cell>
        </row>
        <row r="108">
          <cell r="B108">
            <v>1062</v>
          </cell>
          <cell r="C108" t="str">
            <v>مايو</v>
          </cell>
          <cell r="D108" t="str">
            <v>فيزا اهلي</v>
          </cell>
          <cell r="E108" t="str">
            <v>مشرفة التجهيز</v>
          </cell>
          <cell r="F108" t="str">
            <v>التجهيز</v>
          </cell>
          <cell r="G108" t="str">
            <v>سلوان صالح عرفات</v>
          </cell>
          <cell r="H108">
            <v>2700</v>
          </cell>
          <cell r="I108">
            <v>6700</v>
          </cell>
          <cell r="J108">
            <v>300</v>
          </cell>
          <cell r="K108">
            <v>1000</v>
          </cell>
          <cell r="L108"/>
          <cell r="M108">
            <v>1000</v>
          </cell>
          <cell r="N108"/>
          <cell r="O108">
            <v>1000</v>
          </cell>
          <cell r="P108"/>
          <cell r="Q108"/>
          <cell r="R108"/>
          <cell r="S108">
            <v>10000</v>
          </cell>
        </row>
        <row r="109">
          <cell r="B109">
            <v>3311</v>
          </cell>
          <cell r="C109" t="str">
            <v>نوفمبر</v>
          </cell>
          <cell r="D109" t="str">
            <v>فيزا قاهرة</v>
          </cell>
          <cell r="E109" t="str">
            <v>التخطيط (اقسام نهائية)</v>
          </cell>
          <cell r="F109" t="str">
            <v>التخطيط</v>
          </cell>
          <cell r="G109" t="str">
            <v>مروة عبد الله عبد الجليل الحريري</v>
          </cell>
          <cell r="H109"/>
          <cell r="I109">
            <v>4700</v>
          </cell>
          <cell r="J109">
            <v>300</v>
          </cell>
          <cell r="K109"/>
          <cell r="L109"/>
          <cell r="M109">
            <v>500</v>
          </cell>
          <cell r="N109"/>
          <cell r="O109"/>
          <cell r="P109"/>
          <cell r="Q109"/>
          <cell r="R109"/>
          <cell r="S109">
            <v>5500</v>
          </cell>
        </row>
        <row r="110">
          <cell r="B110">
            <v>3391</v>
          </cell>
          <cell r="C110" t="str">
            <v>ديسمبر</v>
          </cell>
          <cell r="D110" t="str">
            <v>فيزا قاهرة</v>
          </cell>
          <cell r="E110" t="str">
            <v>مدير امن المصنع</v>
          </cell>
          <cell r="F110" t="str">
            <v>الامن</v>
          </cell>
          <cell r="G110" t="str">
            <v>عاطف احمد محمد سلام</v>
          </cell>
          <cell r="H110"/>
          <cell r="I110">
            <v>6700</v>
          </cell>
          <cell r="J110">
            <v>300</v>
          </cell>
          <cell r="K110"/>
          <cell r="L110"/>
          <cell r="M110">
            <v>2000</v>
          </cell>
          <cell r="N110"/>
          <cell r="O110">
            <v>2000</v>
          </cell>
          <cell r="P110"/>
          <cell r="Q110"/>
          <cell r="R110"/>
          <cell r="S110">
            <v>11000</v>
          </cell>
        </row>
        <row r="111">
          <cell r="B111">
            <v>2238</v>
          </cell>
          <cell r="C111" t="str">
            <v>نوفمبر</v>
          </cell>
          <cell r="D111" t="str">
            <v>فيزا اهلي</v>
          </cell>
          <cell r="E111" t="str">
            <v>جوكر</v>
          </cell>
          <cell r="F111" t="str">
            <v>التجهيز</v>
          </cell>
          <cell r="G111" t="str">
            <v>جنه محمد المرسي</v>
          </cell>
          <cell r="H111">
            <v>457</v>
          </cell>
          <cell r="I111">
            <v>5700</v>
          </cell>
          <cell r="J111">
            <v>300</v>
          </cell>
          <cell r="K111">
            <v>300</v>
          </cell>
          <cell r="L111"/>
          <cell r="M111">
            <v>200</v>
          </cell>
          <cell r="N111"/>
          <cell r="O111">
            <v>500</v>
          </cell>
          <cell r="P111"/>
          <cell r="Q111"/>
          <cell r="R111"/>
          <cell r="S111">
            <v>7000</v>
          </cell>
        </row>
        <row r="112">
          <cell r="B112">
            <v>27</v>
          </cell>
          <cell r="C112" t="str">
            <v>نوفمبر</v>
          </cell>
          <cell r="D112" t="str">
            <v>فيزا اهلي</v>
          </cell>
          <cell r="E112" t="str">
            <v>جوكر</v>
          </cell>
          <cell r="F112" t="str">
            <v>التجهيز</v>
          </cell>
          <cell r="G112" t="str">
            <v>مروة احمد السيد الدسوقي</v>
          </cell>
          <cell r="H112"/>
          <cell r="I112">
            <v>5200</v>
          </cell>
          <cell r="J112">
            <v>200</v>
          </cell>
          <cell r="K112">
            <v>300</v>
          </cell>
          <cell r="L112"/>
          <cell r="M112">
            <v>300</v>
          </cell>
          <cell r="N112"/>
          <cell r="O112">
            <v>500</v>
          </cell>
          <cell r="P112"/>
          <cell r="Q112"/>
          <cell r="R112"/>
          <cell r="S112">
            <v>6500</v>
          </cell>
        </row>
        <row r="113">
          <cell r="B113">
            <v>33</v>
          </cell>
          <cell r="C113" t="str">
            <v>نوفمبر</v>
          </cell>
          <cell r="D113" t="str">
            <v>فيزا اهلي</v>
          </cell>
          <cell r="E113" t="str">
            <v>جوكر</v>
          </cell>
          <cell r="F113" t="str">
            <v>التجهيز</v>
          </cell>
          <cell r="G113" t="str">
            <v>اسراء احمد فؤاد</v>
          </cell>
          <cell r="H113"/>
          <cell r="I113">
            <v>5100</v>
          </cell>
          <cell r="J113">
            <v>300</v>
          </cell>
          <cell r="K113">
            <v>200</v>
          </cell>
          <cell r="L113">
            <v>100</v>
          </cell>
          <cell r="M113">
            <v>300</v>
          </cell>
          <cell r="N113"/>
          <cell r="O113">
            <v>500</v>
          </cell>
          <cell r="P113"/>
          <cell r="Q113"/>
          <cell r="R113"/>
          <cell r="S113">
            <v>6500</v>
          </cell>
        </row>
        <row r="114">
          <cell r="B114">
            <v>2250</v>
          </cell>
          <cell r="C114" t="str">
            <v>نوفمبر</v>
          </cell>
          <cell r="D114" t="str">
            <v>فيزا اهلي</v>
          </cell>
          <cell r="E114" t="str">
            <v>جوكر</v>
          </cell>
          <cell r="F114" t="str">
            <v>التجهيز</v>
          </cell>
          <cell r="G114" t="str">
            <v>منه الله احمد فؤاد</v>
          </cell>
          <cell r="H114"/>
          <cell r="I114">
            <v>5100</v>
          </cell>
          <cell r="J114">
            <v>300</v>
          </cell>
          <cell r="K114">
            <v>200</v>
          </cell>
          <cell r="L114">
            <v>100</v>
          </cell>
          <cell r="M114">
            <v>300</v>
          </cell>
          <cell r="N114"/>
          <cell r="O114">
            <v>500</v>
          </cell>
          <cell r="P114"/>
          <cell r="Q114"/>
          <cell r="R114"/>
          <cell r="S114">
            <v>6500</v>
          </cell>
        </row>
        <row r="115">
          <cell r="B115">
            <v>3121</v>
          </cell>
          <cell r="C115" t="str">
            <v>يونيو</v>
          </cell>
          <cell r="D115" t="str">
            <v>فيزا قاهرة</v>
          </cell>
          <cell r="E115" t="str">
            <v xml:space="preserve">علامة ظهر </v>
          </cell>
          <cell r="F115" t="str">
            <v>خط الظهر 3</v>
          </cell>
          <cell r="G115" t="str">
            <v>الاء سعد سعد محمد ابو العطا</v>
          </cell>
          <cell r="H115"/>
          <cell r="I115">
            <v>2800</v>
          </cell>
          <cell r="J115">
            <v>300</v>
          </cell>
          <cell r="K115">
            <v>600</v>
          </cell>
          <cell r="L115"/>
          <cell r="M115">
            <v>300</v>
          </cell>
          <cell r="N115"/>
          <cell r="O115"/>
          <cell r="P115"/>
          <cell r="Q115"/>
          <cell r="R115"/>
          <cell r="S115">
            <v>4000</v>
          </cell>
        </row>
        <row r="116">
          <cell r="B116">
            <v>3179</v>
          </cell>
          <cell r="C116" t="str">
            <v>ديسمبر</v>
          </cell>
          <cell r="D116" t="str">
            <v>كاش</v>
          </cell>
          <cell r="E116" t="str">
            <v>تعبئة</v>
          </cell>
          <cell r="F116" t="str">
            <v>نهائي</v>
          </cell>
          <cell r="G116" t="str">
            <v>وليد السيد ابراهيم ابراهيم جاد الله</v>
          </cell>
          <cell r="H116"/>
          <cell r="I116">
            <v>2800</v>
          </cell>
          <cell r="J116">
            <v>300</v>
          </cell>
          <cell r="K116">
            <v>400</v>
          </cell>
          <cell r="L116"/>
          <cell r="M116">
            <v>500</v>
          </cell>
          <cell r="N116"/>
          <cell r="O116"/>
          <cell r="P116"/>
          <cell r="Q116"/>
          <cell r="R116"/>
          <cell r="S116">
            <v>4000</v>
          </cell>
        </row>
        <row r="117">
          <cell r="B117">
            <v>2220</v>
          </cell>
          <cell r="C117" t="str">
            <v>نوفمبر</v>
          </cell>
          <cell r="D117" t="str">
            <v>فيزا اهلي</v>
          </cell>
          <cell r="E117" t="str">
            <v>جوكر</v>
          </cell>
          <cell r="F117" t="str">
            <v>التجهيز</v>
          </cell>
          <cell r="G117" t="str">
            <v>سماح حسن محمد السعيد مسعد عبد العال</v>
          </cell>
          <cell r="H117"/>
          <cell r="I117">
            <v>5100</v>
          </cell>
          <cell r="J117">
            <v>300</v>
          </cell>
          <cell r="K117">
            <v>300</v>
          </cell>
          <cell r="L117"/>
          <cell r="M117">
            <v>300</v>
          </cell>
          <cell r="N117"/>
          <cell r="O117">
            <v>500</v>
          </cell>
          <cell r="P117"/>
          <cell r="Q117"/>
          <cell r="R117"/>
          <cell r="S117">
            <v>6500</v>
          </cell>
        </row>
        <row r="118">
          <cell r="B118">
            <v>3555</v>
          </cell>
          <cell r="C118" t="str">
            <v>لا يوجد</v>
          </cell>
          <cell r="D118" t="str">
            <v>كاش</v>
          </cell>
          <cell r="E118" t="str">
            <v>مساعد</v>
          </cell>
          <cell r="F118" t="str">
            <v>خط الفنيش 2</v>
          </cell>
          <cell r="G118" t="str">
            <v>يوسف ابراهيم يوسف السيد فرحات</v>
          </cell>
          <cell r="H118"/>
          <cell r="I118">
            <v>3100</v>
          </cell>
          <cell r="J118">
            <v>300</v>
          </cell>
          <cell r="K118">
            <v>300</v>
          </cell>
          <cell r="L118"/>
          <cell r="M118">
            <v>300</v>
          </cell>
          <cell r="N118"/>
          <cell r="O118"/>
          <cell r="P118"/>
          <cell r="Q118"/>
          <cell r="R118"/>
          <cell r="S118">
            <v>4000</v>
          </cell>
        </row>
        <row r="119">
          <cell r="B119">
            <v>1068</v>
          </cell>
          <cell r="C119" t="str">
            <v>نوفمبر</v>
          </cell>
          <cell r="D119" t="str">
            <v>فيزا قاهرة</v>
          </cell>
          <cell r="E119" t="str">
            <v>جوكر</v>
          </cell>
          <cell r="F119" t="str">
            <v>التجهيز</v>
          </cell>
          <cell r="G119" t="str">
            <v>ايه محمد ابراهيم عباس</v>
          </cell>
          <cell r="H119">
            <v>2700</v>
          </cell>
          <cell r="I119">
            <v>5600</v>
          </cell>
          <cell r="J119">
            <v>300</v>
          </cell>
          <cell r="K119">
            <v>300</v>
          </cell>
          <cell r="L119"/>
          <cell r="M119">
            <v>300</v>
          </cell>
          <cell r="N119"/>
          <cell r="O119">
            <v>500</v>
          </cell>
          <cell r="P119"/>
          <cell r="Q119"/>
          <cell r="R119"/>
          <cell r="S119">
            <v>7000</v>
          </cell>
        </row>
        <row r="120">
          <cell r="B120">
            <v>1067</v>
          </cell>
          <cell r="C120" t="str">
            <v>يوليو</v>
          </cell>
          <cell r="D120" t="str">
            <v>فيزا قاهرة</v>
          </cell>
          <cell r="E120" t="str">
            <v>مساعدة علامة</v>
          </cell>
          <cell r="F120" t="str">
            <v>التجهيز</v>
          </cell>
          <cell r="G120" t="str">
            <v>شهيره عبده عبد الواحد</v>
          </cell>
          <cell r="H120">
            <v>2700</v>
          </cell>
          <cell r="I120">
            <v>3000</v>
          </cell>
          <cell r="J120">
            <v>100</v>
          </cell>
          <cell r="K120">
            <v>200</v>
          </cell>
          <cell r="L120"/>
          <cell r="M120">
            <v>200</v>
          </cell>
          <cell r="N120"/>
          <cell r="O120">
            <v>500</v>
          </cell>
          <cell r="P120"/>
          <cell r="Q120"/>
          <cell r="R120"/>
          <cell r="S120">
            <v>4000</v>
          </cell>
        </row>
        <row r="121">
          <cell r="B121">
            <v>2248</v>
          </cell>
          <cell r="C121" t="str">
            <v>نوفمبر</v>
          </cell>
          <cell r="D121" t="str">
            <v>كاش</v>
          </cell>
          <cell r="E121" t="str">
            <v>جوكر</v>
          </cell>
          <cell r="F121" t="str">
            <v>خط الفنيش 3</v>
          </cell>
          <cell r="G121" t="str">
            <v>محمد محمد السيد ابراهيم مايو</v>
          </cell>
          <cell r="H121"/>
          <cell r="I121">
            <v>6200</v>
          </cell>
          <cell r="J121">
            <v>300</v>
          </cell>
          <cell r="K121">
            <v>1000</v>
          </cell>
          <cell r="L121"/>
          <cell r="M121">
            <v>1000</v>
          </cell>
          <cell r="N121"/>
          <cell r="O121">
            <v>500</v>
          </cell>
          <cell r="P121"/>
          <cell r="Q121"/>
          <cell r="R121"/>
          <cell r="S121">
            <v>9000</v>
          </cell>
        </row>
        <row r="122">
          <cell r="B122">
            <v>2023</v>
          </cell>
          <cell r="C122" t="str">
            <v>لا يوجد</v>
          </cell>
          <cell r="D122" t="str">
            <v>كاش</v>
          </cell>
          <cell r="E122" t="str">
            <v>تشييم جنب</v>
          </cell>
          <cell r="F122" t="str">
            <v>خط الفنيش 1</v>
          </cell>
          <cell r="G122" t="str">
            <v>شريف محمد السيد ابراهيم حسانين</v>
          </cell>
          <cell r="H122"/>
          <cell r="I122">
            <v>4200</v>
          </cell>
          <cell r="J122">
            <v>300</v>
          </cell>
          <cell r="K122">
            <v>1000</v>
          </cell>
          <cell r="L122"/>
          <cell r="M122">
            <v>1000</v>
          </cell>
          <cell r="N122"/>
          <cell r="O122">
            <v>500</v>
          </cell>
          <cell r="P122"/>
          <cell r="Q122"/>
          <cell r="R122"/>
          <cell r="S122">
            <v>7000</v>
          </cell>
        </row>
        <row r="123">
          <cell r="B123">
            <v>3310</v>
          </cell>
          <cell r="C123" t="str">
            <v>يوليو</v>
          </cell>
          <cell r="D123" t="str">
            <v>فيزا قاهرة</v>
          </cell>
          <cell r="E123" t="str">
            <v>اوفر جنب</v>
          </cell>
          <cell r="F123" t="str">
            <v>خط الفنيش 2</v>
          </cell>
          <cell r="G123" t="str">
            <v>ملك محمد مصطفى ابراهيم درويش</v>
          </cell>
          <cell r="H123"/>
          <cell r="I123">
            <v>4400</v>
          </cell>
          <cell r="J123">
            <v>300</v>
          </cell>
          <cell r="K123">
            <v>1000</v>
          </cell>
          <cell r="L123"/>
          <cell r="M123">
            <v>300</v>
          </cell>
          <cell r="N123"/>
          <cell r="O123"/>
          <cell r="P123"/>
          <cell r="Q123"/>
          <cell r="R123"/>
          <cell r="S123">
            <v>6000</v>
          </cell>
        </row>
        <row r="124">
          <cell r="B124">
            <v>0</v>
          </cell>
          <cell r="C124" t="str">
            <v>لا يوجد</v>
          </cell>
          <cell r="D124" t="str">
            <v>كاش</v>
          </cell>
          <cell r="E124">
            <v>0</v>
          </cell>
          <cell r="F124">
            <v>0</v>
          </cell>
          <cell r="G124">
            <v>0</v>
          </cell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>
            <v>0</v>
          </cell>
        </row>
        <row r="125">
          <cell r="B125">
            <v>3446</v>
          </cell>
          <cell r="C125" t="str">
            <v>لا يوجد</v>
          </cell>
          <cell r="D125" t="str">
            <v>فيزا قاهرة</v>
          </cell>
          <cell r="E125" t="str">
            <v>ستيكر</v>
          </cell>
          <cell r="F125" t="str">
            <v>التشطيب</v>
          </cell>
          <cell r="G125" t="str">
            <v>السمرة محمد فهيم محمد عطية</v>
          </cell>
          <cell r="H125"/>
          <cell r="I125">
            <v>2600</v>
          </cell>
          <cell r="J125">
            <v>300</v>
          </cell>
          <cell r="K125">
            <v>300</v>
          </cell>
          <cell r="L125"/>
          <cell r="M125">
            <v>300</v>
          </cell>
          <cell r="N125"/>
          <cell r="O125"/>
          <cell r="P125"/>
          <cell r="Q125"/>
          <cell r="R125"/>
          <cell r="S125">
            <v>3500</v>
          </cell>
        </row>
        <row r="126">
          <cell r="B126">
            <v>2422</v>
          </cell>
          <cell r="C126" t="str">
            <v>سبتمبر</v>
          </cell>
          <cell r="D126" t="str">
            <v>فيزا قاهرة</v>
          </cell>
          <cell r="E126" t="str">
            <v>اوفر رايزر</v>
          </cell>
          <cell r="F126" t="str">
            <v>خط الظهر 1</v>
          </cell>
          <cell r="G126" t="str">
            <v>عبد الرحمن السيد جابر العصفوري</v>
          </cell>
          <cell r="H126"/>
          <cell r="I126">
            <v>5200</v>
          </cell>
          <cell r="J126">
            <v>300</v>
          </cell>
          <cell r="K126">
            <v>1000</v>
          </cell>
          <cell r="L126"/>
          <cell r="M126">
            <v>1000</v>
          </cell>
          <cell r="N126"/>
          <cell r="O126"/>
          <cell r="P126"/>
          <cell r="Q126"/>
          <cell r="R126"/>
          <cell r="S126">
            <v>7500</v>
          </cell>
        </row>
        <row r="127">
          <cell r="B127">
            <v>1082</v>
          </cell>
          <cell r="C127" t="str">
            <v>يونيو</v>
          </cell>
          <cell r="D127" t="str">
            <v>فيزا قاهرة</v>
          </cell>
          <cell r="E127" t="str">
            <v>كمر</v>
          </cell>
          <cell r="F127" t="str">
            <v>خط الفنيش 1</v>
          </cell>
          <cell r="G127" t="str">
            <v>اشرف يحيي شطا</v>
          </cell>
          <cell r="H127"/>
          <cell r="I127">
            <v>5700</v>
          </cell>
          <cell r="J127">
            <v>300</v>
          </cell>
          <cell r="K127">
            <v>1000</v>
          </cell>
          <cell r="L127"/>
          <cell r="M127">
            <v>1000</v>
          </cell>
          <cell r="N127"/>
          <cell r="O127">
            <v>500</v>
          </cell>
          <cell r="P127"/>
          <cell r="Q127"/>
          <cell r="R127"/>
          <cell r="S127">
            <v>8500</v>
          </cell>
        </row>
        <row r="128">
          <cell r="B128">
            <v>3312</v>
          </cell>
          <cell r="C128" t="str">
            <v>ديسمبر</v>
          </cell>
          <cell r="D128" t="str">
            <v>فيزا قاهرة</v>
          </cell>
          <cell r="E128" t="str">
            <v>التخطيط</v>
          </cell>
          <cell r="F128" t="str">
            <v>التخطيط</v>
          </cell>
          <cell r="G128" t="str">
            <v>علي حسن حسن علي العريان</v>
          </cell>
          <cell r="H128"/>
          <cell r="I128">
            <v>5900</v>
          </cell>
          <cell r="J128">
            <v>300</v>
          </cell>
          <cell r="K128">
            <v>300</v>
          </cell>
          <cell r="L128"/>
          <cell r="M128">
            <v>500</v>
          </cell>
          <cell r="N128"/>
          <cell r="O128"/>
          <cell r="P128"/>
          <cell r="Q128"/>
          <cell r="R128"/>
          <cell r="S128">
            <v>7000</v>
          </cell>
        </row>
        <row r="129">
          <cell r="B129">
            <v>2038</v>
          </cell>
          <cell r="C129" t="str">
            <v>ديسمبر</v>
          </cell>
          <cell r="D129" t="str">
            <v>فيزا قاهرة</v>
          </cell>
          <cell r="E129" t="str">
            <v>فرماتورة</v>
          </cell>
          <cell r="F129" t="str">
            <v>عراوي</v>
          </cell>
          <cell r="G129" t="str">
            <v>سلمى عبدالله الزيني</v>
          </cell>
          <cell r="H129"/>
          <cell r="I129">
            <v>5100</v>
          </cell>
          <cell r="J129">
            <v>300</v>
          </cell>
          <cell r="K129">
            <v>600</v>
          </cell>
          <cell r="L129"/>
          <cell r="M129">
            <v>300</v>
          </cell>
          <cell r="N129"/>
          <cell r="O129">
            <v>500</v>
          </cell>
          <cell r="P129"/>
          <cell r="Q129"/>
          <cell r="R129"/>
          <cell r="S129">
            <v>6800</v>
          </cell>
        </row>
        <row r="130">
          <cell r="B130">
            <v>3198</v>
          </cell>
          <cell r="C130" t="str">
            <v>ديسمبر</v>
          </cell>
          <cell r="D130" t="str">
            <v>فيزا قاهرة</v>
          </cell>
          <cell r="E130" t="str">
            <v>مشرف قسم الفرماتورة</v>
          </cell>
          <cell r="F130" t="str">
            <v>عراوي</v>
          </cell>
          <cell r="G130" t="str">
            <v>محمود احمد السيد يوسف</v>
          </cell>
          <cell r="H130"/>
          <cell r="I130">
            <v>6200</v>
          </cell>
          <cell r="J130">
            <v>300</v>
          </cell>
          <cell r="K130">
            <v>1000</v>
          </cell>
          <cell r="L130"/>
          <cell r="M130">
            <v>500</v>
          </cell>
          <cell r="N130"/>
          <cell r="O130">
            <v>500</v>
          </cell>
          <cell r="P130"/>
          <cell r="Q130"/>
          <cell r="R130"/>
          <cell r="S130">
            <v>8500</v>
          </cell>
        </row>
        <row r="131">
          <cell r="B131">
            <v>2271</v>
          </cell>
          <cell r="C131" t="str">
            <v>يونيو</v>
          </cell>
          <cell r="D131" t="str">
            <v>كاش</v>
          </cell>
          <cell r="E131" t="str">
            <v>مساعدة تفتيح</v>
          </cell>
          <cell r="F131" t="str">
            <v>خط الفنيش 1</v>
          </cell>
          <cell r="G131" t="str">
            <v>فاطمة السيد الجعيدي</v>
          </cell>
          <cell r="H131"/>
          <cell r="I131">
            <v>2700</v>
          </cell>
          <cell r="J131">
            <v>300</v>
          </cell>
          <cell r="K131">
            <v>300</v>
          </cell>
          <cell r="L131"/>
          <cell r="M131">
            <v>200</v>
          </cell>
          <cell r="N131"/>
          <cell r="O131">
            <v>500</v>
          </cell>
          <cell r="P131"/>
          <cell r="Q131"/>
          <cell r="R131"/>
          <cell r="S131">
            <v>4000</v>
          </cell>
        </row>
        <row r="132">
          <cell r="B132">
            <v>2728</v>
          </cell>
          <cell r="C132" t="str">
            <v>ديسمبر</v>
          </cell>
          <cell r="D132" t="str">
            <v>فيزا قاهرة</v>
          </cell>
          <cell r="E132" t="str">
            <v>اوفر بطانة</v>
          </cell>
          <cell r="F132" t="str">
            <v>خط الصدر 1</v>
          </cell>
          <cell r="G132" t="str">
            <v>بسملة محمد ابراهيم رزق</v>
          </cell>
          <cell r="H132"/>
          <cell r="I132">
            <v>2600</v>
          </cell>
          <cell r="J132">
            <v>300</v>
          </cell>
          <cell r="K132">
            <v>900</v>
          </cell>
          <cell r="L132"/>
          <cell r="M132">
            <v>200</v>
          </cell>
          <cell r="N132"/>
          <cell r="O132"/>
          <cell r="P132"/>
          <cell r="Q132"/>
          <cell r="R132"/>
          <cell r="S132">
            <v>4000</v>
          </cell>
        </row>
        <row r="133">
          <cell r="B133">
            <v>3180</v>
          </cell>
          <cell r="C133" t="str">
            <v>يونيو</v>
          </cell>
          <cell r="D133" t="str">
            <v>فيزا قاهرة</v>
          </cell>
          <cell r="E133" t="str">
            <v>اصلاح</v>
          </cell>
          <cell r="F133" t="str">
            <v>نهائي</v>
          </cell>
          <cell r="G133" t="str">
            <v>منتصر ابو المعاطي ابراهيم الزلاط</v>
          </cell>
          <cell r="H133"/>
          <cell r="I133">
            <v>5500</v>
          </cell>
          <cell r="J133">
            <v>300</v>
          </cell>
          <cell r="K133">
            <v>1000</v>
          </cell>
          <cell r="L133"/>
          <cell r="M133">
            <v>500</v>
          </cell>
          <cell r="N133"/>
          <cell r="O133"/>
          <cell r="P133"/>
          <cell r="Q133"/>
          <cell r="R133"/>
          <cell r="S133">
            <v>7300</v>
          </cell>
        </row>
        <row r="134">
          <cell r="B134">
            <v>2405</v>
          </cell>
          <cell r="C134" t="str">
            <v>يونيو</v>
          </cell>
          <cell r="D134" t="str">
            <v>فيزا قاهرة</v>
          </cell>
          <cell r="E134" t="str">
            <v>مشرفة خط الصدر 2</v>
          </cell>
          <cell r="F134" t="str">
            <v>خط الصدر 3</v>
          </cell>
          <cell r="G134" t="str">
            <v xml:space="preserve">رضوى جلال العزبي </v>
          </cell>
          <cell r="H134"/>
          <cell r="I134">
            <v>6000</v>
          </cell>
          <cell r="J134">
            <v>300</v>
          </cell>
          <cell r="K134">
            <v>500</v>
          </cell>
          <cell r="L134">
            <v>200</v>
          </cell>
          <cell r="M134">
            <v>1000</v>
          </cell>
          <cell r="N134"/>
          <cell r="O134">
            <v>1000</v>
          </cell>
          <cell r="P134"/>
          <cell r="Q134"/>
          <cell r="R134"/>
          <cell r="S134">
            <v>9000</v>
          </cell>
        </row>
        <row r="135">
          <cell r="B135">
            <v>3605</v>
          </cell>
          <cell r="C135" t="str">
            <v>لا يوجد</v>
          </cell>
          <cell r="D135" t="str">
            <v>كاش</v>
          </cell>
          <cell r="E135" t="str">
            <v>علامة</v>
          </cell>
          <cell r="F135" t="str">
            <v>خط الظهر 3</v>
          </cell>
          <cell r="G135" t="str">
            <v>زينب محمد حمدي احمد</v>
          </cell>
          <cell r="H135"/>
          <cell r="I135">
            <v>2600</v>
          </cell>
          <cell r="J135">
            <v>300</v>
          </cell>
          <cell r="K135">
            <v>300</v>
          </cell>
          <cell r="L135"/>
          <cell r="M135">
            <v>300</v>
          </cell>
          <cell r="N135"/>
          <cell r="O135"/>
          <cell r="P135"/>
          <cell r="Q135"/>
          <cell r="R135"/>
          <cell r="S135">
            <v>3500</v>
          </cell>
        </row>
        <row r="136">
          <cell r="B136">
            <v>3556</v>
          </cell>
          <cell r="C136" t="str">
            <v>لا يوجد</v>
          </cell>
          <cell r="D136" t="str">
            <v>كاش</v>
          </cell>
          <cell r="E136" t="str">
            <v>مساعد</v>
          </cell>
          <cell r="F136" t="str">
            <v>خط الفنيش 1</v>
          </cell>
          <cell r="G136" t="str">
            <v>يوسف حسن حسن الجرايحي النبلاوي</v>
          </cell>
          <cell r="H136"/>
          <cell r="I136">
            <v>3600</v>
          </cell>
          <cell r="J136">
            <v>300</v>
          </cell>
          <cell r="K136">
            <v>300</v>
          </cell>
          <cell r="L136"/>
          <cell r="M136">
            <v>300</v>
          </cell>
          <cell r="N136"/>
          <cell r="O136"/>
          <cell r="P136"/>
          <cell r="Q136"/>
          <cell r="R136"/>
          <cell r="S136">
            <v>4500</v>
          </cell>
        </row>
        <row r="137">
          <cell r="B137">
            <v>2012</v>
          </cell>
          <cell r="C137" t="str">
            <v>يونيو</v>
          </cell>
          <cell r="D137" t="str">
            <v>فيزا قاهرة</v>
          </cell>
          <cell r="E137" t="str">
            <v>مشرف خط الفنيش 3</v>
          </cell>
          <cell r="F137" t="str">
            <v>خط الفنيش 1</v>
          </cell>
          <cell r="G137" t="str">
            <v>محمد محمد عز الدين</v>
          </cell>
          <cell r="H137"/>
          <cell r="I137">
            <v>7700</v>
          </cell>
          <cell r="J137">
            <v>300</v>
          </cell>
          <cell r="K137">
            <v>1000</v>
          </cell>
          <cell r="L137"/>
          <cell r="M137">
            <v>1000</v>
          </cell>
          <cell r="N137"/>
          <cell r="O137">
            <v>500</v>
          </cell>
          <cell r="P137"/>
          <cell r="Q137"/>
          <cell r="R137"/>
          <cell r="S137">
            <v>10500</v>
          </cell>
        </row>
        <row r="138">
          <cell r="B138">
            <v>3085</v>
          </cell>
          <cell r="C138" t="str">
            <v>يوليو</v>
          </cell>
          <cell r="D138" t="str">
            <v>فيزا قاهرة</v>
          </cell>
          <cell r="E138" t="str">
            <v>خارج العمل</v>
          </cell>
          <cell r="F138" t="str">
            <v>خارج العمل</v>
          </cell>
          <cell r="G138" t="str">
            <v>رضوى محمد كوكب الصباح</v>
          </cell>
          <cell r="H138"/>
          <cell r="I138">
            <v>3200</v>
          </cell>
          <cell r="J138">
            <v>300</v>
          </cell>
          <cell r="K138">
            <v>300</v>
          </cell>
          <cell r="L138"/>
          <cell r="M138">
            <v>300</v>
          </cell>
          <cell r="N138"/>
          <cell r="O138"/>
          <cell r="P138"/>
          <cell r="Q138"/>
          <cell r="R138"/>
          <cell r="S138">
            <v>4100</v>
          </cell>
        </row>
        <row r="139">
          <cell r="B139">
            <v>2055</v>
          </cell>
          <cell r="C139" t="str">
            <v>أبريل</v>
          </cell>
          <cell r="D139" t="str">
            <v>كاش</v>
          </cell>
          <cell r="E139" t="str">
            <v>اشراف</v>
          </cell>
          <cell r="F139" t="str">
            <v>خط الظهر 1</v>
          </cell>
          <cell r="G139" t="str">
            <v xml:space="preserve">محمد السيد عباس </v>
          </cell>
          <cell r="H139"/>
          <cell r="I139">
            <v>7200</v>
          </cell>
          <cell r="J139">
            <v>300</v>
          </cell>
          <cell r="K139">
            <v>1000</v>
          </cell>
          <cell r="L139"/>
          <cell r="M139">
            <v>1000</v>
          </cell>
          <cell r="N139"/>
          <cell r="O139">
            <v>500</v>
          </cell>
          <cell r="P139"/>
          <cell r="Q139"/>
          <cell r="R139"/>
          <cell r="S139">
            <v>10000</v>
          </cell>
        </row>
        <row r="140">
          <cell r="B140">
            <v>2267</v>
          </cell>
          <cell r="C140" t="str">
            <v>يوليو</v>
          </cell>
          <cell r="D140" t="str">
            <v>فيزا قاهرة</v>
          </cell>
          <cell r="E140" t="str">
            <v>ثني رجل</v>
          </cell>
          <cell r="F140" t="str">
            <v>خط الفنيش 2</v>
          </cell>
          <cell r="G140" t="str">
            <v>محمد رزق المتولي</v>
          </cell>
          <cell r="H140"/>
          <cell r="I140">
            <v>6000</v>
          </cell>
          <cell r="J140">
            <v>300</v>
          </cell>
          <cell r="K140">
            <v>300</v>
          </cell>
          <cell r="L140"/>
          <cell r="M140">
            <v>400</v>
          </cell>
          <cell r="N140"/>
          <cell r="O140">
            <v>500</v>
          </cell>
          <cell r="P140"/>
          <cell r="Q140"/>
          <cell r="R140"/>
          <cell r="S140">
            <v>7500</v>
          </cell>
        </row>
        <row r="141">
          <cell r="B141">
            <v>1040</v>
          </cell>
          <cell r="C141" t="str">
            <v>يوليو</v>
          </cell>
          <cell r="D141" t="str">
            <v>فيزا قاهرة</v>
          </cell>
          <cell r="E141" t="str">
            <v>تشييم جنب</v>
          </cell>
          <cell r="F141" t="str">
            <v>خط الفنيش 1</v>
          </cell>
          <cell r="G141" t="str">
            <v>محمد نصر محمد محمد عامر</v>
          </cell>
          <cell r="H141">
            <v>2700</v>
          </cell>
          <cell r="I141">
            <v>4950</v>
          </cell>
          <cell r="J141">
            <v>300</v>
          </cell>
          <cell r="K141">
            <v>1000</v>
          </cell>
          <cell r="L141">
            <v>150</v>
          </cell>
          <cell r="M141">
            <v>300</v>
          </cell>
          <cell r="N141"/>
          <cell r="O141">
            <v>500</v>
          </cell>
          <cell r="P141"/>
          <cell r="Q141"/>
          <cell r="R141"/>
          <cell r="S141">
            <v>7200</v>
          </cell>
        </row>
        <row r="142">
          <cell r="B142">
            <v>2013</v>
          </cell>
          <cell r="C142" t="str">
            <v>سبتمبر</v>
          </cell>
          <cell r="D142" t="str">
            <v>فيزا قاهرة</v>
          </cell>
          <cell r="E142" t="str">
            <v>زاوية</v>
          </cell>
          <cell r="F142" t="str">
            <v>خط الفنيش 3</v>
          </cell>
          <cell r="G142" t="str">
            <v>راضي ابراهيم مقبل</v>
          </cell>
          <cell r="H142"/>
          <cell r="I142">
            <v>5550</v>
          </cell>
          <cell r="J142">
            <v>300</v>
          </cell>
          <cell r="K142">
            <v>1000</v>
          </cell>
          <cell r="L142">
            <v>150</v>
          </cell>
          <cell r="M142">
            <v>300</v>
          </cell>
          <cell r="N142"/>
          <cell r="O142">
            <v>500</v>
          </cell>
          <cell r="P142"/>
          <cell r="Q142"/>
          <cell r="R142"/>
          <cell r="S142">
            <v>7800</v>
          </cell>
        </row>
        <row r="143">
          <cell r="B143">
            <v>2777</v>
          </cell>
          <cell r="C143" t="str">
            <v>يناير</v>
          </cell>
          <cell r="D143" t="str">
            <v>كاش</v>
          </cell>
          <cell r="E143" t="str">
            <v>كبسول</v>
          </cell>
          <cell r="F143" t="str">
            <v>نهائي</v>
          </cell>
          <cell r="G143" t="str">
            <v>اسلام عبده علي محمد عوض</v>
          </cell>
          <cell r="H143"/>
          <cell r="I143">
            <v>5200</v>
          </cell>
          <cell r="J143">
            <v>300</v>
          </cell>
          <cell r="K143">
            <v>500</v>
          </cell>
          <cell r="L143"/>
          <cell r="M143">
            <v>500</v>
          </cell>
          <cell r="N143"/>
          <cell r="O143"/>
          <cell r="P143"/>
          <cell r="Q143"/>
          <cell r="R143"/>
          <cell r="S143">
            <v>6500</v>
          </cell>
        </row>
        <row r="144">
          <cell r="B144">
            <v>2320</v>
          </cell>
          <cell r="C144" t="str">
            <v>لا يوجد</v>
          </cell>
          <cell r="D144" t="str">
            <v>كاش</v>
          </cell>
          <cell r="E144" t="str">
            <v>مكواه نهائي</v>
          </cell>
          <cell r="F144" t="str">
            <v>نهائي</v>
          </cell>
          <cell r="G144" t="str">
            <v>محمد السيد حمدي ابو النور</v>
          </cell>
          <cell r="H144"/>
          <cell r="I144">
            <v>4200</v>
          </cell>
          <cell r="J144">
            <v>300</v>
          </cell>
          <cell r="K144">
            <v>500</v>
          </cell>
          <cell r="L144"/>
          <cell r="M144">
            <v>500</v>
          </cell>
          <cell r="N144"/>
          <cell r="O144"/>
          <cell r="P144"/>
          <cell r="Q144"/>
          <cell r="R144"/>
          <cell r="S144">
            <v>5500</v>
          </cell>
        </row>
        <row r="145">
          <cell r="B145">
            <v>3421</v>
          </cell>
          <cell r="C145" t="str">
            <v>ديسمبر</v>
          </cell>
          <cell r="D145" t="str">
            <v>فيزا قاهرة</v>
          </cell>
          <cell r="E145" t="str">
            <v>جودة اوفر فنيش 1</v>
          </cell>
          <cell r="F145" t="str">
            <v>الجودة</v>
          </cell>
          <cell r="G145" t="str">
            <v>منى محمد احمد علي السحراوي</v>
          </cell>
          <cell r="H145"/>
          <cell r="I145">
            <v>3600</v>
          </cell>
          <cell r="J145">
            <v>300</v>
          </cell>
          <cell r="K145">
            <v>300</v>
          </cell>
          <cell r="L145"/>
          <cell r="M145">
            <v>300</v>
          </cell>
          <cell r="N145"/>
          <cell r="O145"/>
          <cell r="P145"/>
          <cell r="Q145"/>
          <cell r="R145"/>
          <cell r="S145">
            <v>4500</v>
          </cell>
        </row>
        <row r="146">
          <cell r="B146">
            <v>1032</v>
          </cell>
          <cell r="C146" t="str">
            <v>لا يوجد</v>
          </cell>
          <cell r="D146" t="str">
            <v>كاش</v>
          </cell>
          <cell r="E146" t="str">
            <v>مشرف</v>
          </cell>
          <cell r="F146" t="str">
            <v>نهائي</v>
          </cell>
          <cell r="G146" t="str">
            <v>محمد فهيم على محمد عامر</v>
          </cell>
          <cell r="H146"/>
          <cell r="I146">
            <v>6700</v>
          </cell>
          <cell r="J146">
            <v>300</v>
          </cell>
          <cell r="K146">
            <v>1000</v>
          </cell>
          <cell r="L146"/>
          <cell r="M146">
            <v>1000</v>
          </cell>
          <cell r="N146"/>
          <cell r="O146">
            <v>1000</v>
          </cell>
          <cell r="P146"/>
          <cell r="Q146"/>
          <cell r="R146"/>
          <cell r="S146">
            <v>10000</v>
          </cell>
        </row>
        <row r="147">
          <cell r="B147">
            <v>3606</v>
          </cell>
          <cell r="C147" t="str">
            <v>لا يوجد</v>
          </cell>
          <cell r="D147" t="str">
            <v>كاش</v>
          </cell>
          <cell r="E147" t="str">
            <v>مكواه</v>
          </cell>
          <cell r="F147" t="str">
            <v>المكواه</v>
          </cell>
          <cell r="G147" t="str">
            <v>محمد صلاح المرسي احمد عبده</v>
          </cell>
          <cell r="H147"/>
          <cell r="I147">
            <v>3600</v>
          </cell>
          <cell r="J147">
            <v>300</v>
          </cell>
          <cell r="K147">
            <v>300</v>
          </cell>
          <cell r="L147"/>
          <cell r="M147">
            <v>300</v>
          </cell>
          <cell r="N147"/>
          <cell r="O147"/>
          <cell r="P147"/>
          <cell r="Q147"/>
          <cell r="R147"/>
          <cell r="S147">
            <v>4500</v>
          </cell>
        </row>
        <row r="148">
          <cell r="B148">
            <v>2062</v>
          </cell>
          <cell r="C148" t="str">
            <v>سبتمبر</v>
          </cell>
          <cell r="D148" t="str">
            <v>فيزا قاهرة</v>
          </cell>
          <cell r="E148" t="str">
            <v>ابرة واحدة مراحل الصدر</v>
          </cell>
          <cell r="F148" t="str">
            <v>خط الفنيش 3</v>
          </cell>
          <cell r="G148" t="str">
            <v xml:space="preserve">هيام عبد الباري </v>
          </cell>
          <cell r="H148"/>
          <cell r="I148">
            <v>5700</v>
          </cell>
          <cell r="J148">
            <v>300</v>
          </cell>
          <cell r="K148">
            <v>700</v>
          </cell>
          <cell r="L148"/>
          <cell r="M148">
            <v>300</v>
          </cell>
          <cell r="N148"/>
          <cell r="O148">
            <v>500</v>
          </cell>
          <cell r="P148"/>
          <cell r="Q148"/>
          <cell r="R148"/>
          <cell r="S148">
            <v>7500</v>
          </cell>
        </row>
        <row r="149">
          <cell r="B149">
            <v>0</v>
          </cell>
          <cell r="C149" t="str">
            <v>لا يوجد</v>
          </cell>
          <cell r="D149" t="str">
            <v>كاش</v>
          </cell>
          <cell r="E149">
            <v>0</v>
          </cell>
          <cell r="F149">
            <v>0</v>
          </cell>
          <cell r="G149">
            <v>0</v>
          </cell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>
            <v>0</v>
          </cell>
        </row>
        <row r="150">
          <cell r="B150">
            <v>2630</v>
          </cell>
          <cell r="C150" t="str">
            <v>ديسمبر</v>
          </cell>
          <cell r="D150" t="str">
            <v>فيزا اهلي</v>
          </cell>
          <cell r="E150" t="str">
            <v>الإدارة الفنية</v>
          </cell>
          <cell r="F150" t="str">
            <v>الإدارة الفنية</v>
          </cell>
          <cell r="G150" t="str">
            <v>صفوة جمال يوسف سليم</v>
          </cell>
          <cell r="H150"/>
          <cell r="I150">
            <v>5800</v>
          </cell>
          <cell r="J150">
            <v>300</v>
          </cell>
          <cell r="K150"/>
          <cell r="L150"/>
          <cell r="M150">
            <v>400</v>
          </cell>
          <cell r="N150"/>
          <cell r="O150">
            <v>500</v>
          </cell>
          <cell r="P150"/>
          <cell r="Q150"/>
          <cell r="R150"/>
          <cell r="S150">
            <v>7000</v>
          </cell>
        </row>
        <row r="151">
          <cell r="B151">
            <v>1002</v>
          </cell>
          <cell r="C151" t="str">
            <v>لا يوجد</v>
          </cell>
          <cell r="D151" t="str">
            <v>فيزا قاهرة</v>
          </cell>
          <cell r="E151" t="str">
            <v>شئون قانونية</v>
          </cell>
          <cell r="F151" t="str">
            <v>الإدارة</v>
          </cell>
          <cell r="G151" t="str">
            <v>دنيا محمد حسن الحريرى</v>
          </cell>
          <cell r="H151"/>
          <cell r="I151">
            <v>4500</v>
          </cell>
          <cell r="J151"/>
          <cell r="K151"/>
          <cell r="L151"/>
          <cell r="M151">
            <v>2000</v>
          </cell>
          <cell r="N151"/>
          <cell r="O151">
            <v>1000</v>
          </cell>
          <cell r="P151"/>
          <cell r="Q151"/>
          <cell r="R151"/>
          <cell r="S151">
            <v>7500</v>
          </cell>
        </row>
        <row r="152">
          <cell r="B152">
            <v>2224</v>
          </cell>
          <cell r="C152" t="str">
            <v>لا يوجد</v>
          </cell>
          <cell r="D152" t="str">
            <v>فيزا قاهرة</v>
          </cell>
          <cell r="E152" t="str">
            <v>بييه</v>
          </cell>
          <cell r="F152" t="str">
            <v>خط الصدر 2</v>
          </cell>
          <cell r="G152" t="str">
            <v>شهد عوض العاصي</v>
          </cell>
          <cell r="H152"/>
          <cell r="I152">
            <v>2100</v>
          </cell>
          <cell r="J152">
            <v>300</v>
          </cell>
          <cell r="K152">
            <v>300</v>
          </cell>
          <cell r="L152"/>
          <cell r="M152">
            <v>300</v>
          </cell>
          <cell r="N152"/>
          <cell r="O152"/>
          <cell r="P152"/>
          <cell r="Q152"/>
          <cell r="R152"/>
          <cell r="S152">
            <v>3000</v>
          </cell>
        </row>
        <row r="153">
          <cell r="B153">
            <v>3484</v>
          </cell>
          <cell r="C153" t="str">
            <v>لا يوجد</v>
          </cell>
          <cell r="D153" t="str">
            <v>فيزا قاهرة</v>
          </cell>
          <cell r="E153" t="str">
            <v>خارج العمل</v>
          </cell>
          <cell r="F153" t="str">
            <v>خارج العمل</v>
          </cell>
          <cell r="G153" t="str">
            <v>ندى صلاح سيد محمد عيد</v>
          </cell>
          <cell r="H153"/>
          <cell r="I153">
            <v>5700</v>
          </cell>
          <cell r="J153">
            <v>300</v>
          </cell>
          <cell r="K153"/>
          <cell r="L153"/>
          <cell r="M153">
            <v>1000</v>
          </cell>
          <cell r="N153"/>
          <cell r="O153">
            <v>500</v>
          </cell>
          <cell r="P153"/>
          <cell r="Q153"/>
          <cell r="R153"/>
          <cell r="S153">
            <v>7500</v>
          </cell>
        </row>
        <row r="154">
          <cell r="B154">
            <v>72</v>
          </cell>
          <cell r="C154" t="str">
            <v>لا يوجد</v>
          </cell>
          <cell r="D154" t="str">
            <v>كاش</v>
          </cell>
          <cell r="E154" t="str">
            <v>تعليم</v>
          </cell>
          <cell r="F154" t="str">
            <v>خط الظهر 1</v>
          </cell>
          <cell r="G154" t="str">
            <v>اسماء رضا احمد علي هلال</v>
          </cell>
          <cell r="H154"/>
          <cell r="I154">
            <v>2000</v>
          </cell>
          <cell r="J154"/>
          <cell r="K154">
            <v>1000</v>
          </cell>
          <cell r="L154"/>
          <cell r="M154"/>
          <cell r="N154"/>
          <cell r="O154"/>
          <cell r="P154"/>
          <cell r="Q154"/>
          <cell r="R154"/>
          <cell r="S154">
            <v>3000</v>
          </cell>
        </row>
        <row r="155">
          <cell r="B155">
            <v>2100</v>
          </cell>
          <cell r="C155" t="str">
            <v>أبريل</v>
          </cell>
          <cell r="D155" t="str">
            <v>كاش</v>
          </cell>
          <cell r="E155" t="str">
            <v>فرماتورة</v>
          </cell>
          <cell r="F155" t="str">
            <v>عراوي</v>
          </cell>
          <cell r="G155" t="str">
            <v>نجوى الحسيني السيد علي</v>
          </cell>
          <cell r="H155"/>
          <cell r="I155">
            <v>4700</v>
          </cell>
          <cell r="J155">
            <v>300</v>
          </cell>
          <cell r="K155">
            <v>500</v>
          </cell>
          <cell r="L155"/>
          <cell r="M155">
            <v>500</v>
          </cell>
          <cell r="N155"/>
          <cell r="O155">
            <v>500</v>
          </cell>
          <cell r="P155"/>
          <cell r="Q155"/>
          <cell r="R155"/>
          <cell r="S155">
            <v>6500</v>
          </cell>
        </row>
        <row r="156">
          <cell r="B156">
            <v>2075</v>
          </cell>
          <cell r="C156" t="str">
            <v>يونيو</v>
          </cell>
          <cell r="D156" t="str">
            <v>فيزا قاهرة</v>
          </cell>
          <cell r="E156" t="str">
            <v>اوفر حجر وجنب</v>
          </cell>
          <cell r="F156" t="str">
            <v>خط الفنيش 1</v>
          </cell>
          <cell r="G156" t="str">
            <v>اميرة المتولي السعيد</v>
          </cell>
          <cell r="H156"/>
          <cell r="I156">
            <v>5700</v>
          </cell>
          <cell r="J156">
            <v>300</v>
          </cell>
          <cell r="K156">
            <v>1000</v>
          </cell>
          <cell r="L156"/>
          <cell r="M156">
            <v>500</v>
          </cell>
          <cell r="N156"/>
          <cell r="O156">
            <v>500</v>
          </cell>
          <cell r="P156"/>
          <cell r="Q156"/>
          <cell r="R156"/>
          <cell r="S156">
            <v>8000</v>
          </cell>
        </row>
        <row r="157">
          <cell r="B157">
            <v>3485</v>
          </cell>
          <cell r="C157" t="str">
            <v>لا يوجد</v>
          </cell>
          <cell r="D157" t="str">
            <v>كاش</v>
          </cell>
          <cell r="E157" t="str">
            <v>اشراف</v>
          </cell>
          <cell r="F157" t="str">
            <v>خط الفنيش 2</v>
          </cell>
          <cell r="G157" t="str">
            <v>محمد ابراهيم محمد حسن نويصر</v>
          </cell>
          <cell r="H157"/>
          <cell r="I157">
            <v>6700</v>
          </cell>
          <cell r="J157">
            <v>300</v>
          </cell>
          <cell r="K157">
            <v>1500</v>
          </cell>
          <cell r="L157"/>
          <cell r="M157">
            <v>1000</v>
          </cell>
          <cell r="N157"/>
          <cell r="O157">
            <v>1500</v>
          </cell>
          <cell r="P157"/>
          <cell r="Q157"/>
          <cell r="R157"/>
          <cell r="S157">
            <v>11000</v>
          </cell>
        </row>
        <row r="158">
          <cell r="B158">
            <v>1072</v>
          </cell>
          <cell r="C158" t="str">
            <v>أغسطس</v>
          </cell>
          <cell r="D158" t="str">
            <v>فيزا قاهرة</v>
          </cell>
          <cell r="E158" t="str">
            <v>جيوب اركان</v>
          </cell>
          <cell r="F158" t="str">
            <v>خط الظهر 3</v>
          </cell>
          <cell r="G158" t="str">
            <v>محفوظ وهيب احمد احمد</v>
          </cell>
          <cell r="H158">
            <v>2700</v>
          </cell>
          <cell r="I158">
            <v>5200</v>
          </cell>
          <cell r="J158">
            <v>300</v>
          </cell>
          <cell r="K158">
            <v>1000</v>
          </cell>
          <cell r="L158"/>
          <cell r="M158">
            <v>1000</v>
          </cell>
          <cell r="N158"/>
          <cell r="O158">
            <v>500</v>
          </cell>
          <cell r="P158"/>
          <cell r="Q158"/>
          <cell r="R158"/>
          <cell r="S158">
            <v>8000</v>
          </cell>
        </row>
        <row r="159">
          <cell r="B159">
            <v>2234</v>
          </cell>
          <cell r="C159" t="str">
            <v>ديسمبر</v>
          </cell>
          <cell r="D159" t="str">
            <v>فيزا قاهرة</v>
          </cell>
          <cell r="E159" t="str">
            <v>برواز</v>
          </cell>
          <cell r="F159" t="str">
            <v>خط الظهر 1</v>
          </cell>
          <cell r="G159" t="str">
            <v xml:space="preserve">عبدالله محمد السيد </v>
          </cell>
          <cell r="H159"/>
          <cell r="I159">
            <v>4500</v>
          </cell>
          <cell r="J159">
            <v>300</v>
          </cell>
          <cell r="K159">
            <v>500</v>
          </cell>
          <cell r="L159">
            <v>200</v>
          </cell>
          <cell r="M159">
            <v>500</v>
          </cell>
          <cell r="N159"/>
          <cell r="O159">
            <v>500</v>
          </cell>
          <cell r="P159"/>
          <cell r="Q159"/>
          <cell r="R159"/>
          <cell r="S159">
            <v>6500</v>
          </cell>
        </row>
        <row r="160">
          <cell r="B160">
            <v>3225</v>
          </cell>
          <cell r="C160" t="str">
            <v>يوليو</v>
          </cell>
          <cell r="D160" t="str">
            <v>فيزا اهلي</v>
          </cell>
          <cell r="E160" t="str">
            <v>عراوي جيب شق</v>
          </cell>
          <cell r="F160" t="str">
            <v>عراوي</v>
          </cell>
          <cell r="G160" t="str">
            <v>عزيزة مقبل احمد مقبل خليل</v>
          </cell>
          <cell r="H160"/>
          <cell r="I160">
            <v>4100</v>
          </cell>
          <cell r="J160">
            <v>300</v>
          </cell>
          <cell r="K160">
            <v>300</v>
          </cell>
          <cell r="L160"/>
          <cell r="M160">
            <v>300</v>
          </cell>
          <cell r="N160"/>
          <cell r="O160"/>
          <cell r="P160"/>
          <cell r="Q160"/>
          <cell r="R160"/>
          <cell r="S160">
            <v>5000</v>
          </cell>
        </row>
        <row r="161">
          <cell r="B161">
            <v>3317</v>
          </cell>
          <cell r="C161" t="str">
            <v>لا يوجد</v>
          </cell>
          <cell r="D161" t="str">
            <v>فيزا قاهرة</v>
          </cell>
          <cell r="E161" t="str">
            <v>مشرف</v>
          </cell>
          <cell r="F161" t="str">
            <v>خط الظهر 3</v>
          </cell>
          <cell r="G161" t="str">
            <v>محمد علي محمد عبدالرحيم العاصي</v>
          </cell>
          <cell r="H161"/>
          <cell r="I161">
            <v>6200</v>
          </cell>
          <cell r="J161">
            <v>300</v>
          </cell>
          <cell r="K161">
            <v>1000</v>
          </cell>
          <cell r="L161"/>
          <cell r="M161">
            <v>1000</v>
          </cell>
          <cell r="N161"/>
          <cell r="O161">
            <v>500</v>
          </cell>
          <cell r="P161"/>
          <cell r="Q161"/>
          <cell r="R161"/>
          <cell r="S161">
            <v>9000</v>
          </cell>
        </row>
        <row r="162">
          <cell r="B162">
            <v>0</v>
          </cell>
          <cell r="C162" t="str">
            <v>لا يوجد</v>
          </cell>
          <cell r="D162" t="str">
            <v>كاش</v>
          </cell>
          <cell r="E162">
            <v>0</v>
          </cell>
          <cell r="F162">
            <v>0</v>
          </cell>
          <cell r="G162">
            <v>0</v>
          </cell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>
            <v>0</v>
          </cell>
        </row>
        <row r="163">
          <cell r="B163">
            <v>3560</v>
          </cell>
          <cell r="C163" t="str">
            <v>لا يوجد</v>
          </cell>
          <cell r="D163" t="str">
            <v>كاش</v>
          </cell>
          <cell r="E163" t="str">
            <v>فرد</v>
          </cell>
          <cell r="F163" t="str">
            <v>القص</v>
          </cell>
          <cell r="G163" t="str">
            <v>محمود عبدالله محمد ابراهيم احمد عبدالله</v>
          </cell>
          <cell r="H163"/>
          <cell r="I163">
            <v>4600</v>
          </cell>
          <cell r="J163">
            <v>300</v>
          </cell>
          <cell r="K163">
            <v>300</v>
          </cell>
          <cell r="L163">
            <v>150</v>
          </cell>
          <cell r="M163">
            <v>300</v>
          </cell>
          <cell r="N163"/>
          <cell r="O163"/>
          <cell r="P163"/>
          <cell r="Q163"/>
          <cell r="R163"/>
          <cell r="S163">
            <v>5650</v>
          </cell>
        </row>
        <row r="164">
          <cell r="B164">
            <v>2423</v>
          </cell>
          <cell r="C164" t="str">
            <v>يونيو</v>
          </cell>
          <cell r="D164" t="str">
            <v>فيزا اهلي</v>
          </cell>
          <cell r="E164" t="str">
            <v>جيب شق</v>
          </cell>
          <cell r="F164" t="str">
            <v>خط الظهر 1</v>
          </cell>
          <cell r="G164" t="str">
            <v xml:space="preserve">زياد سعد السيد احمد محمد </v>
          </cell>
          <cell r="H164"/>
          <cell r="I164">
            <v>3800</v>
          </cell>
          <cell r="J164">
            <v>300</v>
          </cell>
          <cell r="K164">
            <v>700</v>
          </cell>
          <cell r="L164"/>
          <cell r="M164">
            <v>200</v>
          </cell>
          <cell r="N164"/>
          <cell r="O164">
            <v>500</v>
          </cell>
          <cell r="P164"/>
          <cell r="Q164"/>
          <cell r="R164"/>
          <cell r="S164">
            <v>5500</v>
          </cell>
        </row>
        <row r="165">
          <cell r="B165">
            <v>2056</v>
          </cell>
          <cell r="C165" t="str">
            <v>يونيو</v>
          </cell>
          <cell r="D165" t="str">
            <v>فيزا قاهرة</v>
          </cell>
          <cell r="E165" t="str">
            <v>ابرة واحدة مراحل الصدر</v>
          </cell>
          <cell r="F165" t="str">
            <v>خط الظهر 1</v>
          </cell>
          <cell r="G165" t="str">
            <v xml:space="preserve">السيده محمد حسن ( رباح ) </v>
          </cell>
          <cell r="H165"/>
          <cell r="I165">
            <v>4000</v>
          </cell>
          <cell r="J165">
            <v>300</v>
          </cell>
          <cell r="K165">
            <v>1000</v>
          </cell>
          <cell r="L165"/>
          <cell r="M165">
            <v>200</v>
          </cell>
          <cell r="N165"/>
          <cell r="O165">
            <v>500</v>
          </cell>
          <cell r="P165"/>
          <cell r="Q165"/>
          <cell r="R165"/>
          <cell r="S165">
            <v>6000</v>
          </cell>
        </row>
        <row r="166">
          <cell r="B166">
            <v>3452</v>
          </cell>
          <cell r="C166" t="str">
            <v>لا يوجد</v>
          </cell>
          <cell r="D166" t="str">
            <v>فيزا قاهرة</v>
          </cell>
          <cell r="E166" t="str">
            <v>جودة</v>
          </cell>
          <cell r="F166" t="str">
            <v>نهائي</v>
          </cell>
          <cell r="G166" t="str">
            <v>عبدالرحمن احمد صالح ابراهيم</v>
          </cell>
          <cell r="H166"/>
          <cell r="I166">
            <v>4100</v>
          </cell>
          <cell r="J166">
            <v>300</v>
          </cell>
          <cell r="K166">
            <v>300</v>
          </cell>
          <cell r="L166"/>
          <cell r="M166">
            <v>300</v>
          </cell>
          <cell r="N166"/>
          <cell r="O166"/>
          <cell r="P166"/>
          <cell r="Q166"/>
          <cell r="R166"/>
          <cell r="S166">
            <v>5000</v>
          </cell>
        </row>
        <row r="167">
          <cell r="B167">
            <v>3451</v>
          </cell>
          <cell r="C167" t="str">
            <v>ديسمبر</v>
          </cell>
          <cell r="D167" t="str">
            <v>فيزا قاهرة</v>
          </cell>
          <cell r="E167" t="str">
            <v>تعبئة</v>
          </cell>
          <cell r="F167" t="str">
            <v>نهائي</v>
          </cell>
          <cell r="G167" t="str">
            <v>محمد عبده عبده محمد حسن</v>
          </cell>
          <cell r="H167"/>
          <cell r="I167">
            <v>3600</v>
          </cell>
          <cell r="J167">
            <v>300</v>
          </cell>
          <cell r="K167">
            <v>300</v>
          </cell>
          <cell r="L167"/>
          <cell r="M167">
            <v>300</v>
          </cell>
          <cell r="N167"/>
          <cell r="O167"/>
          <cell r="P167"/>
          <cell r="Q167"/>
          <cell r="R167"/>
          <cell r="S167">
            <v>4500</v>
          </cell>
        </row>
        <row r="168">
          <cell r="B168">
            <v>2581</v>
          </cell>
          <cell r="C168" t="str">
            <v>يونيو</v>
          </cell>
          <cell r="D168" t="str">
            <v>فيزا قاهرة</v>
          </cell>
          <cell r="E168" t="str">
            <v>مساعد</v>
          </cell>
          <cell r="F168" t="str">
            <v>خط الفنيش 1</v>
          </cell>
          <cell r="G168" t="str">
            <v>اسلام عثمان فريد محمد حمودة</v>
          </cell>
          <cell r="H168"/>
          <cell r="I168">
            <v>2500</v>
          </cell>
          <cell r="J168">
            <v>300</v>
          </cell>
          <cell r="K168">
            <v>300</v>
          </cell>
          <cell r="L168"/>
          <cell r="M168">
            <v>200</v>
          </cell>
          <cell r="N168"/>
          <cell r="O168">
            <v>500</v>
          </cell>
          <cell r="P168"/>
          <cell r="Q168"/>
          <cell r="R168"/>
          <cell r="S168">
            <v>3800</v>
          </cell>
        </row>
        <row r="169">
          <cell r="B169">
            <v>2712</v>
          </cell>
          <cell r="C169" t="str">
            <v>أغسطس</v>
          </cell>
          <cell r="D169" t="str">
            <v>فيزا اهلي</v>
          </cell>
          <cell r="E169" t="str">
            <v>الإدارة الفنية</v>
          </cell>
          <cell r="F169" t="str">
            <v>الإدارة الفنية</v>
          </cell>
          <cell r="G169" t="str">
            <v>ميرنا خالد احمد الشناوي</v>
          </cell>
          <cell r="H169"/>
          <cell r="I169">
            <v>4700</v>
          </cell>
          <cell r="J169">
            <v>300</v>
          </cell>
          <cell r="K169"/>
          <cell r="L169"/>
          <cell r="M169">
            <v>1000</v>
          </cell>
          <cell r="N169"/>
          <cell r="O169">
            <v>1000</v>
          </cell>
          <cell r="P169"/>
          <cell r="Q169"/>
          <cell r="R169"/>
          <cell r="S169">
            <v>7000</v>
          </cell>
        </row>
        <row r="170">
          <cell r="B170">
            <v>3425</v>
          </cell>
          <cell r="C170" t="str">
            <v>ديسمبر</v>
          </cell>
          <cell r="D170" t="str">
            <v>فيزا قاهرة</v>
          </cell>
          <cell r="E170" t="str">
            <v>سكرتارية</v>
          </cell>
          <cell r="F170" t="str">
            <v>الإدارة</v>
          </cell>
          <cell r="G170" t="str">
            <v>ايه المرغني السيد غربية</v>
          </cell>
          <cell r="H170"/>
          <cell r="I170">
            <v>3600</v>
          </cell>
          <cell r="J170">
            <v>300</v>
          </cell>
          <cell r="K170">
            <v>300</v>
          </cell>
          <cell r="L170"/>
          <cell r="M170">
            <v>300</v>
          </cell>
          <cell r="N170"/>
          <cell r="O170"/>
          <cell r="P170"/>
          <cell r="Q170"/>
          <cell r="R170"/>
          <cell r="S170">
            <v>4500</v>
          </cell>
        </row>
        <row r="171">
          <cell r="B171">
            <v>2612</v>
          </cell>
          <cell r="C171" t="str">
            <v>أغسطس</v>
          </cell>
          <cell r="D171" t="str">
            <v>فيزا اهلي</v>
          </cell>
          <cell r="E171" t="str">
            <v>جيب خلفي</v>
          </cell>
          <cell r="F171" t="str">
            <v>خط الظهر 3</v>
          </cell>
          <cell r="G171" t="str">
            <v>محمد صبري السيد محمد</v>
          </cell>
          <cell r="H171"/>
          <cell r="I171">
            <v>6400</v>
          </cell>
          <cell r="J171">
            <v>300</v>
          </cell>
          <cell r="K171">
            <v>1000</v>
          </cell>
          <cell r="L171"/>
          <cell r="M171">
            <v>300</v>
          </cell>
          <cell r="N171"/>
          <cell r="O171">
            <v>500</v>
          </cell>
          <cell r="P171"/>
          <cell r="Q171"/>
          <cell r="R171"/>
          <cell r="S171">
            <v>8500</v>
          </cell>
        </row>
        <row r="172">
          <cell r="B172">
            <v>3263</v>
          </cell>
          <cell r="C172" t="str">
            <v>يونيو</v>
          </cell>
          <cell r="D172" t="str">
            <v>فيزا قاهرة</v>
          </cell>
          <cell r="E172" t="str">
            <v>برواز جيب</v>
          </cell>
          <cell r="F172" t="str">
            <v>المكواه</v>
          </cell>
          <cell r="G172" t="str">
            <v>هشام ابراهيم الدسوقي ابو العطا</v>
          </cell>
          <cell r="H172"/>
          <cell r="I172">
            <v>5100</v>
          </cell>
          <cell r="J172">
            <v>300</v>
          </cell>
          <cell r="K172">
            <v>300</v>
          </cell>
          <cell r="L172">
            <v>200</v>
          </cell>
          <cell r="M172">
            <v>300</v>
          </cell>
          <cell r="N172"/>
          <cell r="O172"/>
          <cell r="P172"/>
          <cell r="Q172"/>
          <cell r="R172"/>
          <cell r="S172">
            <v>6200</v>
          </cell>
        </row>
        <row r="173">
          <cell r="B173">
            <v>3496</v>
          </cell>
          <cell r="C173" t="str">
            <v>لا يوجد</v>
          </cell>
          <cell r="D173" t="str">
            <v>كاش</v>
          </cell>
          <cell r="E173" t="str">
            <v>خارج العمل</v>
          </cell>
          <cell r="F173" t="str">
            <v>خارج العمل</v>
          </cell>
          <cell r="G173" t="str">
            <v>بسمة مجدي زكي محمد الزيني</v>
          </cell>
          <cell r="H173"/>
          <cell r="I173">
            <v>4700</v>
          </cell>
          <cell r="J173">
            <v>300</v>
          </cell>
          <cell r="K173">
            <v>500</v>
          </cell>
          <cell r="L173"/>
          <cell r="M173">
            <v>500</v>
          </cell>
          <cell r="N173"/>
          <cell r="O173"/>
          <cell r="P173"/>
          <cell r="Q173"/>
          <cell r="R173"/>
          <cell r="S173">
            <v>6000</v>
          </cell>
        </row>
        <row r="174">
          <cell r="B174">
            <v>3573</v>
          </cell>
          <cell r="C174" t="str">
            <v>لا يوجد</v>
          </cell>
          <cell r="D174" t="str">
            <v>كاش</v>
          </cell>
          <cell r="E174" t="str">
            <v>خياطة</v>
          </cell>
          <cell r="F174" t="str">
            <v>خط الظهر 3</v>
          </cell>
          <cell r="G174" t="str">
            <v>دعاء جمال احمد الشوة</v>
          </cell>
          <cell r="H174"/>
          <cell r="I174">
            <v>2600</v>
          </cell>
          <cell r="J174">
            <v>300</v>
          </cell>
          <cell r="K174">
            <v>300</v>
          </cell>
          <cell r="L174"/>
          <cell r="M174">
            <v>300</v>
          </cell>
          <cell r="N174"/>
          <cell r="O174"/>
          <cell r="P174"/>
          <cell r="Q174"/>
          <cell r="R174"/>
          <cell r="S174">
            <v>3500</v>
          </cell>
        </row>
        <row r="175">
          <cell r="B175">
            <v>2160</v>
          </cell>
          <cell r="C175" t="str">
            <v>يوليو</v>
          </cell>
          <cell r="D175" t="str">
            <v>فيزا قاهرة</v>
          </cell>
          <cell r="E175" t="str">
            <v>اوفر جنب</v>
          </cell>
          <cell r="F175" t="str">
            <v>خط الظهر 1</v>
          </cell>
          <cell r="G175" t="str">
            <v xml:space="preserve">سامية محمد حافظ </v>
          </cell>
          <cell r="H175"/>
          <cell r="I175">
            <v>4000</v>
          </cell>
          <cell r="J175">
            <v>300</v>
          </cell>
          <cell r="K175">
            <v>1000</v>
          </cell>
          <cell r="L175"/>
          <cell r="M175">
            <v>200</v>
          </cell>
          <cell r="N175"/>
          <cell r="O175">
            <v>500</v>
          </cell>
          <cell r="P175"/>
          <cell r="Q175"/>
          <cell r="R175"/>
          <cell r="S175">
            <v>6000</v>
          </cell>
        </row>
        <row r="176">
          <cell r="B176">
            <v>2631</v>
          </cell>
          <cell r="C176" t="str">
            <v>ديسمبر</v>
          </cell>
          <cell r="D176" t="str">
            <v>فيزا قاهرة</v>
          </cell>
          <cell r="E176" t="str">
            <v>دوران</v>
          </cell>
          <cell r="F176" t="str">
            <v>خط الصدر 3</v>
          </cell>
          <cell r="G176" t="str">
            <v>اشرف عمرو محمد السيد حسانين</v>
          </cell>
          <cell r="H176"/>
          <cell r="I176">
            <v>4150</v>
          </cell>
          <cell r="J176">
            <v>300</v>
          </cell>
          <cell r="K176">
            <v>1000</v>
          </cell>
          <cell r="L176">
            <v>150</v>
          </cell>
          <cell r="M176">
            <v>200</v>
          </cell>
          <cell r="N176"/>
          <cell r="O176">
            <v>500</v>
          </cell>
          <cell r="P176"/>
          <cell r="Q176"/>
          <cell r="R176"/>
          <cell r="S176">
            <v>6300</v>
          </cell>
        </row>
        <row r="177">
          <cell r="B177">
            <v>3607</v>
          </cell>
          <cell r="C177" t="str">
            <v>لا يوجد</v>
          </cell>
          <cell r="D177" t="str">
            <v>كاش</v>
          </cell>
          <cell r="E177" t="str">
            <v>جودة نهائي</v>
          </cell>
          <cell r="F177" t="str">
            <v>نهائي</v>
          </cell>
          <cell r="G177" t="str">
            <v>نورهان السعيد احمد احمد سيد احمد</v>
          </cell>
          <cell r="H177"/>
          <cell r="I177">
            <v>3600</v>
          </cell>
          <cell r="J177">
            <v>300</v>
          </cell>
          <cell r="K177">
            <v>300</v>
          </cell>
          <cell r="L177"/>
          <cell r="M177">
            <v>300</v>
          </cell>
          <cell r="N177"/>
          <cell r="O177"/>
          <cell r="P177"/>
          <cell r="Q177"/>
          <cell r="R177"/>
          <cell r="S177">
            <v>4500</v>
          </cell>
        </row>
        <row r="178">
          <cell r="B178">
            <v>2406</v>
          </cell>
          <cell r="C178" t="str">
            <v>لا يوجد</v>
          </cell>
          <cell r="D178" t="str">
            <v>كاش</v>
          </cell>
          <cell r="E178" t="str">
            <v>جودة فنيش 2</v>
          </cell>
          <cell r="F178" t="str">
            <v>الجودة</v>
          </cell>
          <cell r="G178" t="str">
            <v>شيرين محمد على تمراز الكناني</v>
          </cell>
          <cell r="H178"/>
          <cell r="I178">
            <v>4700</v>
          </cell>
          <cell r="J178">
            <v>300</v>
          </cell>
          <cell r="K178">
            <v>500</v>
          </cell>
          <cell r="L178"/>
          <cell r="M178">
            <v>500</v>
          </cell>
          <cell r="N178"/>
          <cell r="O178">
            <v>500</v>
          </cell>
          <cell r="P178"/>
          <cell r="Q178"/>
          <cell r="R178"/>
          <cell r="S178">
            <v>6500</v>
          </cell>
        </row>
        <row r="179">
          <cell r="B179">
            <v>2341</v>
          </cell>
          <cell r="C179" t="str">
            <v>ديسمبر</v>
          </cell>
          <cell r="D179" t="str">
            <v>فيزا قاهرة</v>
          </cell>
          <cell r="E179" t="str">
            <v>خط الظهر 3</v>
          </cell>
          <cell r="F179" t="str">
            <v>الجودة</v>
          </cell>
          <cell r="G179" t="str">
            <v>ندى عبدالله عبده الزيني</v>
          </cell>
          <cell r="H179"/>
          <cell r="I179">
            <v>3600</v>
          </cell>
          <cell r="J179">
            <v>300</v>
          </cell>
          <cell r="K179">
            <v>300</v>
          </cell>
          <cell r="L179"/>
          <cell r="M179">
            <v>300</v>
          </cell>
          <cell r="N179"/>
          <cell r="O179"/>
          <cell r="P179"/>
          <cell r="Q179"/>
          <cell r="R179"/>
          <cell r="S179">
            <v>4500</v>
          </cell>
        </row>
        <row r="180">
          <cell r="B180">
            <v>3267</v>
          </cell>
          <cell r="C180" t="str">
            <v>ديسمبر</v>
          </cell>
          <cell r="D180" t="str">
            <v>فيزا قاهرة</v>
          </cell>
          <cell r="E180" t="str">
            <v>دوران</v>
          </cell>
          <cell r="F180" t="str">
            <v>خط الصدر 3</v>
          </cell>
          <cell r="G180" t="str">
            <v>سمر ابراهيم عبده محمد ماضي</v>
          </cell>
          <cell r="H180"/>
          <cell r="I180">
            <v>4400</v>
          </cell>
          <cell r="J180">
            <v>300</v>
          </cell>
          <cell r="K180">
            <v>1000</v>
          </cell>
          <cell r="L180"/>
          <cell r="M180">
            <v>300</v>
          </cell>
          <cell r="N180"/>
          <cell r="O180"/>
          <cell r="P180"/>
          <cell r="Q180"/>
          <cell r="R180"/>
          <cell r="S180">
            <v>6000</v>
          </cell>
        </row>
        <row r="181">
          <cell r="B181">
            <v>2356</v>
          </cell>
          <cell r="C181" t="str">
            <v>يوليو</v>
          </cell>
          <cell r="D181" t="str">
            <v>فيزا قاهرة</v>
          </cell>
          <cell r="E181" t="str">
            <v>اوفر بطانة</v>
          </cell>
          <cell r="F181" t="str">
            <v>خط الصدر 3</v>
          </cell>
          <cell r="G181" t="str">
            <v xml:space="preserve">سماح محمد محمود طه </v>
          </cell>
          <cell r="H181"/>
          <cell r="I181">
            <v>5700</v>
          </cell>
          <cell r="J181">
            <v>300</v>
          </cell>
          <cell r="K181">
            <v>100</v>
          </cell>
          <cell r="L181"/>
          <cell r="M181">
            <v>200</v>
          </cell>
          <cell r="N181"/>
          <cell r="O181">
            <v>500</v>
          </cell>
          <cell r="P181"/>
          <cell r="Q181"/>
          <cell r="R181"/>
          <cell r="S181">
            <v>6800</v>
          </cell>
        </row>
        <row r="182">
          <cell r="B182">
            <v>2043</v>
          </cell>
          <cell r="C182" t="str">
            <v>لا يوجد</v>
          </cell>
          <cell r="D182" t="str">
            <v>كاش</v>
          </cell>
          <cell r="E182" t="str">
            <v>خارج العمل</v>
          </cell>
          <cell r="F182" t="str">
            <v>خارج العمل</v>
          </cell>
          <cell r="G182" t="str">
            <v>محمد محمد احمد ابراهيم (الجوجا)</v>
          </cell>
          <cell r="H182"/>
          <cell r="I182">
            <v>5700</v>
          </cell>
          <cell r="J182">
            <v>300</v>
          </cell>
          <cell r="K182">
            <v>1000</v>
          </cell>
          <cell r="L182"/>
          <cell r="M182">
            <v>1000</v>
          </cell>
          <cell r="N182"/>
          <cell r="O182">
            <v>1000</v>
          </cell>
          <cell r="P182"/>
          <cell r="Q182"/>
          <cell r="R182"/>
          <cell r="S182">
            <v>9000</v>
          </cell>
        </row>
        <row r="183">
          <cell r="B183">
            <v>3080</v>
          </cell>
          <cell r="C183" t="str">
            <v>يونيو</v>
          </cell>
          <cell r="D183" t="str">
            <v>فيزا قاهرة</v>
          </cell>
          <cell r="E183" t="str">
            <v>فزلين</v>
          </cell>
          <cell r="F183" t="str">
            <v>المكواه</v>
          </cell>
          <cell r="G183" t="str">
            <v>احمد علي حسن عطية</v>
          </cell>
          <cell r="H183"/>
          <cell r="I183">
            <v>3800</v>
          </cell>
          <cell r="J183">
            <v>300</v>
          </cell>
          <cell r="K183">
            <v>300</v>
          </cell>
          <cell r="L183"/>
          <cell r="M183">
            <v>200</v>
          </cell>
          <cell r="N183"/>
          <cell r="O183"/>
          <cell r="P183"/>
          <cell r="Q183"/>
          <cell r="R183"/>
          <cell r="S183">
            <v>4600</v>
          </cell>
        </row>
        <row r="184">
          <cell r="B184">
            <v>2266</v>
          </cell>
          <cell r="C184" t="str">
            <v>يوليو</v>
          </cell>
          <cell r="D184" t="str">
            <v>فيزا قاهرة</v>
          </cell>
          <cell r="E184" t="str">
            <v>تشييم بطانة</v>
          </cell>
          <cell r="F184" t="str">
            <v>خط الصدر 3</v>
          </cell>
          <cell r="G184" t="str">
            <v xml:space="preserve">اسماء العاصي </v>
          </cell>
          <cell r="H184"/>
          <cell r="I184">
            <v>4200</v>
          </cell>
          <cell r="J184">
            <v>300</v>
          </cell>
          <cell r="K184">
            <v>1000</v>
          </cell>
          <cell r="L184"/>
          <cell r="M184">
            <v>300</v>
          </cell>
          <cell r="N184"/>
          <cell r="O184">
            <v>500</v>
          </cell>
          <cell r="P184"/>
          <cell r="Q184"/>
          <cell r="R184"/>
          <cell r="S184">
            <v>6300</v>
          </cell>
        </row>
        <row r="185">
          <cell r="B185">
            <v>2732</v>
          </cell>
          <cell r="C185" t="str">
            <v>سبتمبر</v>
          </cell>
          <cell r="D185" t="str">
            <v>فيزا قاهرة</v>
          </cell>
          <cell r="E185" t="str">
            <v>العينات</v>
          </cell>
          <cell r="F185" t="str">
            <v>العينات</v>
          </cell>
          <cell r="G185" t="str">
            <v>احمد محمد طاهر البربري</v>
          </cell>
          <cell r="H185"/>
          <cell r="I185">
            <v>7000</v>
          </cell>
          <cell r="J185">
            <v>300</v>
          </cell>
          <cell r="K185">
            <v>1000</v>
          </cell>
          <cell r="L185">
            <v>200</v>
          </cell>
          <cell r="M185">
            <v>1000</v>
          </cell>
          <cell r="N185"/>
          <cell r="O185">
            <v>500</v>
          </cell>
          <cell r="P185"/>
          <cell r="Q185"/>
          <cell r="R185"/>
          <cell r="S185">
            <v>10000</v>
          </cell>
        </row>
        <row r="186">
          <cell r="B186">
            <v>3463</v>
          </cell>
          <cell r="C186" t="str">
            <v>لا يوجد</v>
          </cell>
          <cell r="D186" t="str">
            <v>فيزا قاهرة</v>
          </cell>
          <cell r="E186" t="str">
            <v>مساعدة</v>
          </cell>
          <cell r="F186" t="str">
            <v>خط الظهر 1</v>
          </cell>
          <cell r="G186" t="str">
            <v>اسماء مفرح عبده قريع</v>
          </cell>
          <cell r="H186"/>
          <cell r="I186">
            <v>2300</v>
          </cell>
          <cell r="J186">
            <v>300</v>
          </cell>
          <cell r="K186">
            <v>300</v>
          </cell>
          <cell r="L186">
            <v>200</v>
          </cell>
          <cell r="M186">
            <v>300</v>
          </cell>
          <cell r="N186"/>
          <cell r="O186"/>
          <cell r="P186"/>
          <cell r="Q186"/>
          <cell r="R186"/>
          <cell r="S186">
            <v>3400</v>
          </cell>
        </row>
        <row r="187">
          <cell r="B187">
            <v>0</v>
          </cell>
          <cell r="C187" t="str">
            <v>لا يوجد</v>
          </cell>
          <cell r="D187" t="str">
            <v>كاش</v>
          </cell>
          <cell r="E187">
            <v>0</v>
          </cell>
          <cell r="F187">
            <v>0</v>
          </cell>
          <cell r="G187">
            <v>0</v>
          </cell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>
            <v>0</v>
          </cell>
        </row>
        <row r="188">
          <cell r="B188">
            <v>1099</v>
          </cell>
          <cell r="C188" t="str">
            <v>يونيو</v>
          </cell>
          <cell r="D188" t="str">
            <v>كاش</v>
          </cell>
          <cell r="E188" t="str">
            <v>مشرفة</v>
          </cell>
          <cell r="F188" t="str">
            <v>خط الصدر 2</v>
          </cell>
          <cell r="G188" t="str">
            <v>نادية فاروق ابو الوفا محمد</v>
          </cell>
          <cell r="H188"/>
          <cell r="I188">
            <v>6700</v>
          </cell>
          <cell r="J188">
            <v>300</v>
          </cell>
          <cell r="K188">
            <v>1000</v>
          </cell>
          <cell r="L188"/>
          <cell r="M188">
            <v>1000</v>
          </cell>
          <cell r="N188"/>
          <cell r="O188">
            <v>1000</v>
          </cell>
          <cell r="P188"/>
          <cell r="Q188"/>
          <cell r="R188"/>
          <cell r="S188">
            <v>10000</v>
          </cell>
        </row>
        <row r="189">
          <cell r="B189">
            <v>3242</v>
          </cell>
          <cell r="C189" t="str">
            <v>لا يوجد</v>
          </cell>
          <cell r="D189" t="str">
            <v>كاش</v>
          </cell>
          <cell r="E189" t="str">
            <v>دوران</v>
          </cell>
          <cell r="F189" t="str">
            <v>خط الصدر 2</v>
          </cell>
          <cell r="G189" t="str">
            <v>محمد المتولي محمد السعيد شلضم</v>
          </cell>
          <cell r="H189"/>
          <cell r="I189">
            <v>4100</v>
          </cell>
          <cell r="J189">
            <v>300</v>
          </cell>
          <cell r="K189">
            <v>300</v>
          </cell>
          <cell r="L189"/>
          <cell r="M189">
            <v>300</v>
          </cell>
          <cell r="N189"/>
          <cell r="O189"/>
          <cell r="P189"/>
          <cell r="Q189"/>
          <cell r="R189"/>
          <cell r="S189">
            <v>5000</v>
          </cell>
        </row>
        <row r="190">
          <cell r="B190">
            <v>3501</v>
          </cell>
          <cell r="C190" t="str">
            <v>لا يوجد</v>
          </cell>
          <cell r="D190" t="str">
            <v>كاش</v>
          </cell>
          <cell r="E190" t="str">
            <v>جيوب اركان</v>
          </cell>
          <cell r="F190" t="str">
            <v>خط الظهر 3</v>
          </cell>
          <cell r="G190" t="str">
            <v>يوسف سعد حسن سعد عبدالله</v>
          </cell>
          <cell r="H190"/>
          <cell r="I190">
            <v>5200</v>
          </cell>
          <cell r="J190">
            <v>300</v>
          </cell>
          <cell r="K190">
            <v>1000</v>
          </cell>
          <cell r="L190"/>
          <cell r="M190">
            <v>1000</v>
          </cell>
          <cell r="N190"/>
          <cell r="O190">
            <v>1000</v>
          </cell>
          <cell r="P190"/>
          <cell r="Q190"/>
          <cell r="R190"/>
          <cell r="S190">
            <v>8500</v>
          </cell>
        </row>
        <row r="191">
          <cell r="B191">
            <v>3609</v>
          </cell>
          <cell r="C191" t="str">
            <v>لا يوجد</v>
          </cell>
          <cell r="D191" t="str">
            <v>كاش</v>
          </cell>
          <cell r="E191" t="str">
            <v>خارج العمل</v>
          </cell>
          <cell r="F191" t="str">
            <v>خارج العمل</v>
          </cell>
          <cell r="G191" t="str">
            <v>ابراهيم علي عبدالقادر علي اسماعيل</v>
          </cell>
          <cell r="H191"/>
          <cell r="I191">
            <v>5700</v>
          </cell>
          <cell r="J191">
            <v>300</v>
          </cell>
          <cell r="K191">
            <v>500</v>
          </cell>
          <cell r="L191"/>
          <cell r="M191">
            <v>1000</v>
          </cell>
          <cell r="N191"/>
          <cell r="O191">
            <v>500</v>
          </cell>
          <cell r="P191"/>
          <cell r="Q191"/>
          <cell r="R191"/>
          <cell r="S191">
            <v>8000</v>
          </cell>
        </row>
        <row r="192">
          <cell r="B192">
            <v>3416</v>
          </cell>
          <cell r="C192" t="str">
            <v>لا يوجد</v>
          </cell>
          <cell r="D192" t="str">
            <v>فيزا قاهرة</v>
          </cell>
          <cell r="E192" t="str">
            <v>جودة نهائي</v>
          </cell>
          <cell r="F192" t="str">
            <v>نهائي</v>
          </cell>
          <cell r="G192" t="str">
            <v>سلمى احمد محمد النبوي الناغية</v>
          </cell>
          <cell r="H192"/>
          <cell r="I192">
            <v>3400</v>
          </cell>
          <cell r="J192">
            <v>300</v>
          </cell>
          <cell r="K192"/>
          <cell r="L192"/>
          <cell r="M192">
            <v>300</v>
          </cell>
          <cell r="N192"/>
          <cell r="O192"/>
          <cell r="P192"/>
          <cell r="Q192"/>
          <cell r="R192"/>
          <cell r="S192">
            <v>4000</v>
          </cell>
        </row>
        <row r="193">
          <cell r="B193">
            <v>1035</v>
          </cell>
          <cell r="C193" t="str">
            <v>لا يوجد</v>
          </cell>
          <cell r="D193" t="str">
            <v>كاش</v>
          </cell>
          <cell r="E193" t="str">
            <v>مكواه نهائي</v>
          </cell>
          <cell r="F193" t="str">
            <v>نهائي</v>
          </cell>
          <cell r="G193" t="str">
            <v>اسماعيل محمد اسماعيل محمد عامر</v>
          </cell>
          <cell r="H193"/>
          <cell r="I193">
            <v>4700</v>
          </cell>
          <cell r="J193">
            <v>300</v>
          </cell>
          <cell r="K193">
            <v>500</v>
          </cell>
          <cell r="L193"/>
          <cell r="M193">
            <v>500</v>
          </cell>
          <cell r="N193"/>
          <cell r="O193"/>
          <cell r="P193"/>
          <cell r="Q193"/>
          <cell r="R193"/>
          <cell r="S193">
            <v>6000</v>
          </cell>
        </row>
        <row r="194">
          <cell r="B194">
            <v>3563</v>
          </cell>
          <cell r="C194" t="str">
            <v>لا يوجد</v>
          </cell>
          <cell r="D194" t="str">
            <v>كاش</v>
          </cell>
          <cell r="E194" t="str">
            <v>خارج العمل</v>
          </cell>
          <cell r="F194" t="str">
            <v>خارج العمل</v>
          </cell>
          <cell r="G194" t="str">
            <v>يوسف حسن فتحي هاشم احمد جراوي</v>
          </cell>
          <cell r="H194"/>
          <cell r="I194">
            <v>3600</v>
          </cell>
          <cell r="J194">
            <v>300</v>
          </cell>
          <cell r="K194">
            <v>300</v>
          </cell>
          <cell r="L194"/>
          <cell r="M194">
            <v>300</v>
          </cell>
          <cell r="N194"/>
          <cell r="O194"/>
          <cell r="P194"/>
          <cell r="Q194"/>
          <cell r="R194"/>
          <cell r="S194">
            <v>4500</v>
          </cell>
        </row>
        <row r="195">
          <cell r="B195">
            <v>0</v>
          </cell>
          <cell r="C195" t="str">
            <v>لا يوجد</v>
          </cell>
          <cell r="D195" t="str">
            <v>كاش</v>
          </cell>
          <cell r="E195">
            <v>0</v>
          </cell>
          <cell r="F195">
            <v>0</v>
          </cell>
          <cell r="G195">
            <v>0</v>
          </cell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>
            <v>0</v>
          </cell>
        </row>
        <row r="196">
          <cell r="B196">
            <v>3325</v>
          </cell>
          <cell r="C196" t="str">
            <v>لا يوجد</v>
          </cell>
          <cell r="D196" t="str">
            <v>فيزا قاهرة</v>
          </cell>
          <cell r="E196" t="str">
            <v>تشييم بطانة</v>
          </cell>
          <cell r="F196" t="str">
            <v>خط الظهر 1</v>
          </cell>
          <cell r="G196" t="str">
            <v>ياسمين محسن السيد الزعلوك</v>
          </cell>
          <cell r="H196"/>
          <cell r="I196">
            <v>4300</v>
          </cell>
          <cell r="J196">
            <v>300</v>
          </cell>
          <cell r="K196">
            <v>500</v>
          </cell>
          <cell r="L196"/>
          <cell r="M196">
            <v>500</v>
          </cell>
          <cell r="N196"/>
          <cell r="O196"/>
          <cell r="P196"/>
          <cell r="Q196"/>
          <cell r="R196"/>
          <cell r="S196">
            <v>5600</v>
          </cell>
        </row>
        <row r="197">
          <cell r="B197">
            <v>3469</v>
          </cell>
          <cell r="C197" t="str">
            <v>ديسمبر</v>
          </cell>
          <cell r="D197" t="str">
            <v>فيزا قاهرة</v>
          </cell>
          <cell r="E197" t="str">
            <v>فرماتورة</v>
          </cell>
          <cell r="F197" t="str">
            <v>عراوي</v>
          </cell>
          <cell r="G197" t="str">
            <v>شهد شوقي محمد حامد سالم</v>
          </cell>
          <cell r="H197"/>
          <cell r="I197">
            <v>4100</v>
          </cell>
          <cell r="J197">
            <v>300</v>
          </cell>
          <cell r="K197">
            <v>300</v>
          </cell>
          <cell r="L197"/>
          <cell r="M197">
            <v>300</v>
          </cell>
          <cell r="N197"/>
          <cell r="O197"/>
          <cell r="P197"/>
          <cell r="Q197"/>
          <cell r="R197"/>
          <cell r="S197">
            <v>5000</v>
          </cell>
        </row>
        <row r="198">
          <cell r="B198">
            <v>3207</v>
          </cell>
          <cell r="C198" t="str">
            <v>ديسمبر</v>
          </cell>
          <cell r="D198" t="str">
            <v>فيزا قاهرة</v>
          </cell>
          <cell r="E198" t="str">
            <v>مخازن</v>
          </cell>
          <cell r="F198" t="str">
            <v>مخازن</v>
          </cell>
          <cell r="G198" t="str">
            <v>محسن العربي صالح صالح</v>
          </cell>
          <cell r="H198"/>
          <cell r="I198">
            <v>4600</v>
          </cell>
          <cell r="J198">
            <v>300</v>
          </cell>
          <cell r="K198">
            <v>300</v>
          </cell>
          <cell r="L198"/>
          <cell r="M198">
            <v>300</v>
          </cell>
          <cell r="N198"/>
          <cell r="O198">
            <v>500</v>
          </cell>
          <cell r="P198"/>
          <cell r="Q198"/>
          <cell r="R198"/>
          <cell r="S198">
            <v>6000</v>
          </cell>
        </row>
        <row r="199">
          <cell r="B199">
            <v>3610</v>
          </cell>
          <cell r="C199" t="str">
            <v>لا يوجد</v>
          </cell>
          <cell r="D199" t="str">
            <v>كاش</v>
          </cell>
          <cell r="E199" t="str">
            <v>جودة نهائي</v>
          </cell>
          <cell r="F199" t="str">
            <v>نهائي</v>
          </cell>
          <cell r="G199" t="str">
            <v>محمد احمد عبدالله محمد عبدالله</v>
          </cell>
          <cell r="H199"/>
          <cell r="I199">
            <v>3100</v>
          </cell>
          <cell r="J199">
            <v>300</v>
          </cell>
          <cell r="K199">
            <v>300</v>
          </cell>
          <cell r="L199"/>
          <cell r="M199">
            <v>300</v>
          </cell>
          <cell r="N199"/>
          <cell r="O199"/>
          <cell r="P199"/>
          <cell r="Q199"/>
          <cell r="R199"/>
          <cell r="S199">
            <v>4000</v>
          </cell>
        </row>
        <row r="200">
          <cell r="B200">
            <v>2424</v>
          </cell>
          <cell r="C200" t="str">
            <v>يونيو</v>
          </cell>
          <cell r="D200" t="str">
            <v>كاش</v>
          </cell>
          <cell r="E200" t="str">
            <v>مساعدة تفتيح</v>
          </cell>
          <cell r="F200" t="str">
            <v>خط الفنيش 2</v>
          </cell>
          <cell r="G200" t="str">
            <v>رضا جاد محمد منصور</v>
          </cell>
          <cell r="H200"/>
          <cell r="I200">
            <v>2500</v>
          </cell>
          <cell r="J200">
            <v>300</v>
          </cell>
          <cell r="K200">
            <v>200</v>
          </cell>
          <cell r="L200"/>
          <cell r="M200"/>
          <cell r="N200"/>
          <cell r="O200">
            <v>500</v>
          </cell>
          <cell r="P200"/>
          <cell r="Q200"/>
          <cell r="R200"/>
          <cell r="S200">
            <v>3500</v>
          </cell>
        </row>
        <row r="201">
          <cell r="B201">
            <v>3131</v>
          </cell>
          <cell r="C201" t="str">
            <v>يوليو</v>
          </cell>
          <cell r="D201" t="str">
            <v>كاش</v>
          </cell>
          <cell r="E201" t="str">
            <v xml:space="preserve">اوفر </v>
          </cell>
          <cell r="F201" t="str">
            <v>خط الفنيش 2</v>
          </cell>
          <cell r="G201" t="str">
            <v>زينب عبده محمد العاصي</v>
          </cell>
          <cell r="H201"/>
          <cell r="I201">
            <v>4400</v>
          </cell>
          <cell r="J201">
            <v>300</v>
          </cell>
          <cell r="K201">
            <v>1000</v>
          </cell>
          <cell r="L201"/>
          <cell r="M201">
            <v>300</v>
          </cell>
          <cell r="N201"/>
          <cell r="O201"/>
          <cell r="P201"/>
          <cell r="Q201"/>
          <cell r="R201"/>
          <cell r="S201">
            <v>6000</v>
          </cell>
        </row>
        <row r="202">
          <cell r="B202">
            <v>3611</v>
          </cell>
          <cell r="C202" t="str">
            <v>لا يوجد</v>
          </cell>
          <cell r="D202" t="str">
            <v>كاش</v>
          </cell>
          <cell r="E202" t="str">
            <v>تعبئة</v>
          </cell>
          <cell r="F202" t="str">
            <v>نهائي</v>
          </cell>
          <cell r="G202" t="str">
            <v xml:space="preserve">يوسف نسيم احمد احمد المتولي </v>
          </cell>
          <cell r="H202"/>
          <cell r="I202">
            <v>3600</v>
          </cell>
          <cell r="J202">
            <v>300</v>
          </cell>
          <cell r="K202">
            <v>300</v>
          </cell>
          <cell r="L202"/>
          <cell r="M202">
            <v>300</v>
          </cell>
          <cell r="N202"/>
          <cell r="O202"/>
          <cell r="P202"/>
          <cell r="Q202"/>
          <cell r="R202"/>
          <cell r="S202">
            <v>4500</v>
          </cell>
        </row>
        <row r="203">
          <cell r="B203">
            <v>3056</v>
          </cell>
          <cell r="C203" t="str">
            <v>يونيو</v>
          </cell>
          <cell r="D203" t="str">
            <v>فيزا قاهرة</v>
          </cell>
          <cell r="E203" t="str">
            <v>ابرة واحدة</v>
          </cell>
          <cell r="F203" t="str">
            <v>خط الفنيش 1</v>
          </cell>
          <cell r="G203" t="str">
            <v>احمد ايمن احمد محمد سلام</v>
          </cell>
          <cell r="H203"/>
          <cell r="I203">
            <v>4600</v>
          </cell>
          <cell r="J203">
            <v>300</v>
          </cell>
          <cell r="K203">
            <v>1000</v>
          </cell>
          <cell r="L203"/>
          <cell r="M203">
            <v>300</v>
          </cell>
          <cell r="N203"/>
          <cell r="O203"/>
          <cell r="P203"/>
          <cell r="Q203"/>
          <cell r="R203"/>
          <cell r="S203">
            <v>6200</v>
          </cell>
        </row>
        <row r="204">
          <cell r="B204">
            <v>0</v>
          </cell>
          <cell r="C204" t="str">
            <v>لا يوجد</v>
          </cell>
          <cell r="D204" t="str">
            <v>كاش</v>
          </cell>
          <cell r="E204">
            <v>0</v>
          </cell>
          <cell r="F204">
            <v>0</v>
          </cell>
          <cell r="G204">
            <v>0</v>
          </cell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>
            <v>0</v>
          </cell>
        </row>
        <row r="205">
          <cell r="B205">
            <v>3502</v>
          </cell>
          <cell r="C205" t="str">
            <v>لا يوجد</v>
          </cell>
          <cell r="D205" t="str">
            <v>كاش</v>
          </cell>
          <cell r="E205" t="str">
            <v>جودة</v>
          </cell>
          <cell r="F205" t="str">
            <v>نهائي</v>
          </cell>
          <cell r="G205" t="str">
            <v>نسمة علي محمد الصديق مجاهد</v>
          </cell>
          <cell r="H205"/>
          <cell r="I205">
            <v>5200</v>
          </cell>
          <cell r="J205">
            <v>300</v>
          </cell>
          <cell r="K205">
            <v>500</v>
          </cell>
          <cell r="L205"/>
          <cell r="M205">
            <v>500</v>
          </cell>
          <cell r="N205"/>
          <cell r="O205">
            <v>500</v>
          </cell>
          <cell r="P205"/>
          <cell r="Q205"/>
          <cell r="R205"/>
          <cell r="S205">
            <v>7000</v>
          </cell>
        </row>
        <row r="206">
          <cell r="B206">
            <v>3503</v>
          </cell>
          <cell r="C206" t="str">
            <v>لا يوجد</v>
          </cell>
          <cell r="D206" t="str">
            <v>كاش</v>
          </cell>
          <cell r="E206" t="str">
            <v>جودة نهائي</v>
          </cell>
          <cell r="F206" t="str">
            <v>نهائي</v>
          </cell>
          <cell r="G206" t="str">
            <v>حنين عبده محمد عبده جبر</v>
          </cell>
          <cell r="H206"/>
          <cell r="I206">
            <v>3600</v>
          </cell>
          <cell r="J206">
            <v>300</v>
          </cell>
          <cell r="K206">
            <v>300</v>
          </cell>
          <cell r="L206"/>
          <cell r="M206">
            <v>300</v>
          </cell>
          <cell r="N206"/>
          <cell r="O206"/>
          <cell r="P206"/>
          <cell r="Q206"/>
          <cell r="R206"/>
          <cell r="S206">
            <v>4500</v>
          </cell>
        </row>
        <row r="207">
          <cell r="B207">
            <v>1083</v>
          </cell>
          <cell r="C207" t="str">
            <v>سبتمبر</v>
          </cell>
          <cell r="D207" t="str">
            <v>فيزا قاهرة</v>
          </cell>
          <cell r="E207" t="str">
            <v>خارج العمل</v>
          </cell>
          <cell r="F207" t="str">
            <v>خارج العمل</v>
          </cell>
          <cell r="G207" t="str">
            <v>محمد الرفاعي محمد محمد صالح</v>
          </cell>
          <cell r="H207"/>
          <cell r="I207">
            <v>5700</v>
          </cell>
          <cell r="J207">
            <v>300</v>
          </cell>
          <cell r="K207">
            <v>1000</v>
          </cell>
          <cell r="L207"/>
          <cell r="M207">
            <v>1000</v>
          </cell>
          <cell r="N207"/>
          <cell r="O207"/>
          <cell r="P207"/>
          <cell r="Q207"/>
          <cell r="R207"/>
          <cell r="S207">
            <v>8000</v>
          </cell>
        </row>
        <row r="208">
          <cell r="B208">
            <v>2232</v>
          </cell>
          <cell r="C208" t="str">
            <v>مايو</v>
          </cell>
          <cell r="D208" t="str">
            <v>كاش</v>
          </cell>
          <cell r="E208" t="str">
            <v>كبسول</v>
          </cell>
          <cell r="F208" t="str">
            <v>نهائي</v>
          </cell>
          <cell r="G208" t="str">
            <v>محمد عباس شتيوي</v>
          </cell>
          <cell r="H208"/>
          <cell r="I208">
            <v>4700</v>
          </cell>
          <cell r="J208">
            <v>300</v>
          </cell>
          <cell r="K208">
            <v>500</v>
          </cell>
          <cell r="L208"/>
          <cell r="M208">
            <v>500</v>
          </cell>
          <cell r="N208"/>
          <cell r="O208">
            <v>500</v>
          </cell>
          <cell r="P208"/>
          <cell r="Q208"/>
          <cell r="R208"/>
          <cell r="S208">
            <v>6500</v>
          </cell>
        </row>
        <row r="209">
          <cell r="B209">
            <v>2046</v>
          </cell>
          <cell r="C209" t="str">
            <v>يونيو</v>
          </cell>
          <cell r="D209" t="str">
            <v>كاش</v>
          </cell>
          <cell r="E209" t="str">
            <v>زاوية</v>
          </cell>
          <cell r="F209" t="str">
            <v>خط الفنيش 1</v>
          </cell>
          <cell r="G209" t="str">
            <v>محمد احمد صالح</v>
          </cell>
          <cell r="H209"/>
          <cell r="I209">
            <v>6450</v>
          </cell>
          <cell r="J209">
            <v>300</v>
          </cell>
          <cell r="K209">
            <v>800</v>
          </cell>
          <cell r="L209">
            <v>150</v>
          </cell>
          <cell r="M209">
            <v>300</v>
          </cell>
          <cell r="N209"/>
          <cell r="O209">
            <v>500</v>
          </cell>
          <cell r="P209"/>
          <cell r="Q209"/>
          <cell r="R209"/>
          <cell r="S209">
            <v>8500</v>
          </cell>
        </row>
        <row r="210">
          <cell r="B210">
            <v>3504</v>
          </cell>
          <cell r="C210" t="str">
            <v>لا يوجد</v>
          </cell>
          <cell r="D210" t="str">
            <v>كاش</v>
          </cell>
          <cell r="E210" t="str">
            <v>مشرف انتاج عام خط 2</v>
          </cell>
          <cell r="F210" t="str">
            <v>الإدارة</v>
          </cell>
          <cell r="G210" t="str">
            <v>محمود محمد البنداري عبدالمجيد محمد</v>
          </cell>
          <cell r="H210"/>
          <cell r="I210">
            <v>8700</v>
          </cell>
          <cell r="J210">
            <v>300</v>
          </cell>
          <cell r="K210">
            <v>2000</v>
          </cell>
          <cell r="L210"/>
          <cell r="M210">
            <v>2000</v>
          </cell>
          <cell r="N210"/>
          <cell r="O210">
            <v>2000</v>
          </cell>
          <cell r="P210"/>
          <cell r="Q210"/>
          <cell r="R210"/>
          <cell r="S210">
            <v>15000</v>
          </cell>
        </row>
        <row r="211">
          <cell r="B211">
            <v>3505</v>
          </cell>
          <cell r="C211" t="str">
            <v>لا يوجد</v>
          </cell>
          <cell r="D211" t="str">
            <v>كاش</v>
          </cell>
          <cell r="E211" t="str">
            <v>تدريب</v>
          </cell>
          <cell r="F211" t="str">
            <v>خط الفنيش 2</v>
          </cell>
          <cell r="G211" t="str">
            <v>بسنت محسن حسنين محمد حسنين</v>
          </cell>
          <cell r="H211"/>
          <cell r="I211">
            <v>2100</v>
          </cell>
          <cell r="J211">
            <v>300</v>
          </cell>
          <cell r="K211">
            <v>300</v>
          </cell>
          <cell r="L211"/>
          <cell r="M211">
            <v>300</v>
          </cell>
          <cell r="N211"/>
          <cell r="O211"/>
          <cell r="P211"/>
          <cell r="Q211"/>
          <cell r="R211"/>
          <cell r="S211">
            <v>3000</v>
          </cell>
        </row>
        <row r="212">
          <cell r="B212">
            <v>2657</v>
          </cell>
          <cell r="C212" t="str">
            <v>سبتمبر</v>
          </cell>
          <cell r="D212" t="str">
            <v>فيزا قاهرة</v>
          </cell>
          <cell r="E212" t="str">
            <v>زاوية</v>
          </cell>
          <cell r="F212" t="str">
            <v>خط الفنيش 2</v>
          </cell>
          <cell r="G212" t="str">
            <v>يوسف السيد محمد السيد حسانين</v>
          </cell>
          <cell r="H212"/>
          <cell r="I212">
            <v>4200</v>
          </cell>
          <cell r="J212">
            <v>300</v>
          </cell>
          <cell r="K212">
            <v>1000</v>
          </cell>
          <cell r="L212"/>
          <cell r="M212">
            <v>500</v>
          </cell>
          <cell r="N212"/>
          <cell r="O212">
            <v>500</v>
          </cell>
          <cell r="P212"/>
          <cell r="Q212"/>
          <cell r="R212"/>
          <cell r="S212">
            <v>6500</v>
          </cell>
        </row>
        <row r="213">
          <cell r="B213">
            <v>3508</v>
          </cell>
          <cell r="C213" t="str">
            <v>لا يوجد</v>
          </cell>
          <cell r="D213" t="str">
            <v>كاش</v>
          </cell>
          <cell r="E213" t="str">
            <v>رليز تجميع</v>
          </cell>
          <cell r="F213" t="str">
            <v>خط الفنيش 3</v>
          </cell>
          <cell r="G213" t="str">
            <v>هبة وحيد محمد محمد سلطان</v>
          </cell>
          <cell r="H213"/>
          <cell r="I213">
            <v>2100</v>
          </cell>
          <cell r="J213">
            <v>300</v>
          </cell>
          <cell r="K213">
            <v>300</v>
          </cell>
          <cell r="L213"/>
          <cell r="M213">
            <v>300</v>
          </cell>
          <cell r="N213"/>
          <cell r="O213"/>
          <cell r="P213"/>
          <cell r="Q213"/>
          <cell r="R213"/>
          <cell r="S213">
            <v>3000</v>
          </cell>
        </row>
        <row r="214">
          <cell r="B214">
            <v>2790</v>
          </cell>
          <cell r="C214" t="str">
            <v>اكتوبر</v>
          </cell>
          <cell r="D214" t="str">
            <v>فيزا قاهرة</v>
          </cell>
          <cell r="E214" t="str">
            <v>خارج العمل</v>
          </cell>
          <cell r="F214" t="str">
            <v>خارج العمل</v>
          </cell>
          <cell r="G214" t="str">
            <v>هبة على محمد علي النجدي</v>
          </cell>
          <cell r="H214"/>
          <cell r="I214">
            <v>4200</v>
          </cell>
          <cell r="J214">
            <v>300</v>
          </cell>
          <cell r="K214">
            <v>1000</v>
          </cell>
          <cell r="L214"/>
          <cell r="M214">
            <v>1000</v>
          </cell>
          <cell r="N214"/>
          <cell r="O214">
            <v>500</v>
          </cell>
          <cell r="P214"/>
          <cell r="Q214"/>
          <cell r="R214"/>
          <cell r="S214">
            <v>7000</v>
          </cell>
        </row>
        <row r="215">
          <cell r="B215">
            <v>2632</v>
          </cell>
          <cell r="C215" t="str">
            <v>ديسمبر</v>
          </cell>
          <cell r="D215" t="str">
            <v>فيزا قاهرة</v>
          </cell>
          <cell r="E215" t="str">
            <v>تكريب</v>
          </cell>
          <cell r="F215" t="str">
            <v>خط الصدر 3</v>
          </cell>
          <cell r="G215" t="str">
            <v>محمد عمرو محمد السيد حسانين</v>
          </cell>
          <cell r="H215"/>
          <cell r="I215">
            <v>4150</v>
          </cell>
          <cell r="J215">
            <v>300</v>
          </cell>
          <cell r="K215">
            <v>1000</v>
          </cell>
          <cell r="L215">
            <v>150</v>
          </cell>
          <cell r="M215">
            <v>200</v>
          </cell>
          <cell r="N215"/>
          <cell r="O215">
            <v>500</v>
          </cell>
          <cell r="P215"/>
          <cell r="Q215"/>
          <cell r="R215"/>
          <cell r="S215">
            <v>6300</v>
          </cell>
        </row>
        <row r="216">
          <cell r="B216">
            <v>2066</v>
          </cell>
          <cell r="C216" t="str">
            <v>يونيو</v>
          </cell>
          <cell r="D216" t="str">
            <v>فيزا قاهرة</v>
          </cell>
          <cell r="E216" t="str">
            <v>مشرف قسم المكواه</v>
          </cell>
          <cell r="F216" t="str">
            <v>المكواه</v>
          </cell>
          <cell r="G216" t="str">
            <v>علي السعيد مسعد</v>
          </cell>
          <cell r="H216">
            <v>2700</v>
          </cell>
          <cell r="I216">
            <v>7050</v>
          </cell>
          <cell r="J216">
            <v>300</v>
          </cell>
          <cell r="K216">
            <v>500</v>
          </cell>
          <cell r="L216">
            <v>150</v>
          </cell>
          <cell r="M216">
            <v>500</v>
          </cell>
          <cell r="N216"/>
          <cell r="O216">
            <v>500</v>
          </cell>
          <cell r="P216"/>
          <cell r="Q216"/>
          <cell r="R216"/>
          <cell r="S216">
            <v>9000</v>
          </cell>
        </row>
        <row r="217">
          <cell r="B217">
            <v>3509</v>
          </cell>
          <cell r="C217" t="str">
            <v>لا يوجد</v>
          </cell>
          <cell r="D217" t="str">
            <v>كاش</v>
          </cell>
          <cell r="E217" t="str">
            <v>كاتبة انتاج</v>
          </cell>
          <cell r="F217" t="str">
            <v>الإدارة</v>
          </cell>
          <cell r="G217" t="str">
            <v>اسماء احمد احمد محمد حسن</v>
          </cell>
          <cell r="H217"/>
          <cell r="I217">
            <v>3900</v>
          </cell>
          <cell r="J217">
            <v>300</v>
          </cell>
          <cell r="K217"/>
          <cell r="L217"/>
          <cell r="M217">
            <v>300</v>
          </cell>
          <cell r="N217"/>
          <cell r="O217"/>
          <cell r="P217"/>
          <cell r="Q217"/>
          <cell r="R217"/>
          <cell r="S217">
            <v>4500</v>
          </cell>
        </row>
        <row r="218">
          <cell r="B218">
            <v>3612</v>
          </cell>
          <cell r="C218" t="str">
            <v>لا يوجد</v>
          </cell>
          <cell r="D218" t="str">
            <v>كاش</v>
          </cell>
          <cell r="E218" t="str">
            <v>جودة نهائي</v>
          </cell>
          <cell r="F218" t="str">
            <v>نهائي</v>
          </cell>
          <cell r="G218" t="str">
            <v>جنى عبدالباسط عبدالعزيز الدسوقي</v>
          </cell>
          <cell r="H218"/>
          <cell r="I218">
            <v>3600</v>
          </cell>
          <cell r="J218">
            <v>300</v>
          </cell>
          <cell r="K218">
            <v>300</v>
          </cell>
          <cell r="L218"/>
          <cell r="M218">
            <v>300</v>
          </cell>
          <cell r="N218"/>
          <cell r="O218"/>
          <cell r="P218"/>
          <cell r="Q218"/>
          <cell r="R218"/>
          <cell r="S218">
            <v>4500</v>
          </cell>
        </row>
        <row r="219">
          <cell r="B219">
            <v>3367</v>
          </cell>
          <cell r="C219" t="str">
            <v>ديسمبر</v>
          </cell>
          <cell r="D219" t="str">
            <v>فيزا قاهرة</v>
          </cell>
          <cell r="E219" t="str">
            <v>ليبول</v>
          </cell>
          <cell r="F219" t="str">
            <v>خط الفنيش 2</v>
          </cell>
          <cell r="G219" t="str">
            <v>محمد جابر محمد ابراهيم بدوي</v>
          </cell>
          <cell r="H219"/>
          <cell r="I219">
            <v>3100</v>
          </cell>
          <cell r="J219">
            <v>300</v>
          </cell>
          <cell r="K219">
            <v>300</v>
          </cell>
          <cell r="L219"/>
          <cell r="M219">
            <v>300</v>
          </cell>
          <cell r="N219"/>
          <cell r="O219"/>
          <cell r="P219"/>
          <cell r="Q219"/>
          <cell r="R219"/>
          <cell r="S219">
            <v>4000</v>
          </cell>
        </row>
        <row r="220">
          <cell r="B220">
            <v>2639</v>
          </cell>
          <cell r="C220" t="str">
            <v>يوليو</v>
          </cell>
          <cell r="D220" t="str">
            <v>فيزا قاهرة</v>
          </cell>
          <cell r="E220" t="str">
            <v>تجهيز تكت</v>
          </cell>
          <cell r="F220" t="str">
            <v>التجهيز</v>
          </cell>
          <cell r="G220" t="str">
            <v>محبوبة محمود حسن محمد</v>
          </cell>
          <cell r="H220"/>
          <cell r="I220">
            <v>3300</v>
          </cell>
          <cell r="J220">
            <v>300</v>
          </cell>
          <cell r="K220">
            <v>300</v>
          </cell>
          <cell r="L220"/>
          <cell r="M220">
            <v>300</v>
          </cell>
          <cell r="N220"/>
          <cell r="O220">
            <v>500</v>
          </cell>
          <cell r="P220"/>
          <cell r="Q220"/>
          <cell r="R220"/>
          <cell r="S220">
            <v>4700</v>
          </cell>
        </row>
        <row r="221">
          <cell r="B221">
            <v>2268</v>
          </cell>
          <cell r="C221" t="str">
            <v>يونيو</v>
          </cell>
          <cell r="D221" t="str">
            <v>فيزا اهلي</v>
          </cell>
          <cell r="E221" t="str">
            <v>جيب ضهر</v>
          </cell>
          <cell r="F221" t="str">
            <v>المكواه</v>
          </cell>
          <cell r="G221" t="str">
            <v>عبده محمد عبده محمد العشري</v>
          </cell>
          <cell r="H221"/>
          <cell r="I221">
            <v>5300</v>
          </cell>
          <cell r="J221">
            <v>300</v>
          </cell>
          <cell r="K221">
            <v>200</v>
          </cell>
          <cell r="L221"/>
          <cell r="M221">
            <v>500</v>
          </cell>
          <cell r="N221"/>
          <cell r="O221">
            <v>500</v>
          </cell>
          <cell r="P221"/>
          <cell r="Q221"/>
          <cell r="R221"/>
          <cell r="S221">
            <v>6800</v>
          </cell>
        </row>
        <row r="222">
          <cell r="B222">
            <v>3363</v>
          </cell>
          <cell r="C222" t="str">
            <v>يوليو</v>
          </cell>
          <cell r="D222" t="str">
            <v>فيزا قاهرة</v>
          </cell>
          <cell r="E222" t="str">
            <v>تشييم داخلي</v>
          </cell>
          <cell r="F222" t="str">
            <v>خط الصدر 1</v>
          </cell>
          <cell r="G222" t="str">
            <v>اميرة محمد السيد الحطيني</v>
          </cell>
          <cell r="H222"/>
          <cell r="I222">
            <v>4400</v>
          </cell>
          <cell r="J222">
            <v>300</v>
          </cell>
          <cell r="K222">
            <v>800</v>
          </cell>
          <cell r="L222"/>
          <cell r="M222">
            <v>300</v>
          </cell>
          <cell r="N222"/>
          <cell r="O222"/>
          <cell r="P222"/>
          <cell r="Q222"/>
          <cell r="R222"/>
          <cell r="S222">
            <v>5800</v>
          </cell>
        </row>
        <row r="223">
          <cell r="B223">
            <v>2558</v>
          </cell>
          <cell r="C223" t="str">
            <v>يونيو</v>
          </cell>
          <cell r="D223" t="str">
            <v>كاش</v>
          </cell>
          <cell r="E223" t="str">
            <v>تجهيز</v>
          </cell>
          <cell r="F223" t="str">
            <v>المكواه</v>
          </cell>
          <cell r="G223" t="str">
            <v>حمادة السيد جمال السيد عمر</v>
          </cell>
          <cell r="H223"/>
          <cell r="I223">
            <v>3500</v>
          </cell>
          <cell r="J223">
            <v>300</v>
          </cell>
          <cell r="K223"/>
          <cell r="L223">
            <v>150</v>
          </cell>
          <cell r="M223"/>
          <cell r="N223"/>
          <cell r="O223">
            <v>500</v>
          </cell>
          <cell r="P223"/>
          <cell r="Q223"/>
          <cell r="R223"/>
          <cell r="S223">
            <v>4450</v>
          </cell>
        </row>
        <row r="224">
          <cell r="B224">
            <v>3086</v>
          </cell>
          <cell r="C224" t="str">
            <v>يونيو</v>
          </cell>
          <cell r="D224" t="str">
            <v>فيزا قاهرة</v>
          </cell>
          <cell r="E224" t="str">
            <v>مساعد متابعة</v>
          </cell>
          <cell r="F224" t="str">
            <v>التشطيب</v>
          </cell>
          <cell r="G224" t="str">
            <v>محمد ابراهيم حسن محمد عطية</v>
          </cell>
          <cell r="H224"/>
          <cell r="I224">
            <v>2500</v>
          </cell>
          <cell r="J224">
            <v>300</v>
          </cell>
          <cell r="K224">
            <v>200</v>
          </cell>
          <cell r="L224"/>
          <cell r="M224">
            <v>200</v>
          </cell>
          <cell r="N224"/>
          <cell r="O224"/>
          <cell r="P224"/>
          <cell r="Q224"/>
          <cell r="R224"/>
          <cell r="S224">
            <v>3200</v>
          </cell>
        </row>
        <row r="225">
          <cell r="B225">
            <v>3564</v>
          </cell>
          <cell r="C225" t="str">
            <v>لا يوجد</v>
          </cell>
          <cell r="D225" t="str">
            <v>كاش</v>
          </cell>
          <cell r="E225" t="str">
            <v>فرماتورة</v>
          </cell>
          <cell r="F225" t="str">
            <v>عراوي</v>
          </cell>
          <cell r="G225" t="str">
            <v>يوسف محمود حمدي محمد راشد</v>
          </cell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>
            <v>0</v>
          </cell>
        </row>
        <row r="226">
          <cell r="B226">
            <v>1030</v>
          </cell>
          <cell r="C226" t="str">
            <v>يونيو</v>
          </cell>
          <cell r="D226" t="str">
            <v>فيزا قاهرة</v>
          </cell>
          <cell r="E226" t="str">
            <v>متابعة</v>
          </cell>
          <cell r="F226" t="str">
            <v>التشطيب</v>
          </cell>
          <cell r="G226" t="str">
            <v>محمد عباس فتوح احمد مصطفى</v>
          </cell>
          <cell r="H226">
            <v>2700</v>
          </cell>
          <cell r="I226">
            <v>4400</v>
          </cell>
          <cell r="J226">
            <v>300</v>
          </cell>
          <cell r="K226">
            <v>300</v>
          </cell>
          <cell r="L226"/>
          <cell r="M226">
            <v>300</v>
          </cell>
          <cell r="N226"/>
          <cell r="O226">
            <v>500</v>
          </cell>
          <cell r="P226"/>
          <cell r="Q226"/>
          <cell r="R226"/>
          <cell r="S226">
            <v>5800</v>
          </cell>
        </row>
        <row r="227">
          <cell r="B227">
            <v>3401</v>
          </cell>
          <cell r="C227" t="str">
            <v>لا يوجد</v>
          </cell>
          <cell r="D227" t="str">
            <v>فيزا قاهرة</v>
          </cell>
          <cell r="E227" t="str">
            <v>فرماتورة</v>
          </cell>
          <cell r="F227" t="str">
            <v>عراوي</v>
          </cell>
          <cell r="G227" t="str">
            <v>يوسف السيد حمدي رشاد</v>
          </cell>
          <cell r="H227"/>
          <cell r="I227">
            <v>4200</v>
          </cell>
          <cell r="J227">
            <v>300</v>
          </cell>
          <cell r="K227">
            <v>500</v>
          </cell>
          <cell r="L227"/>
          <cell r="M227">
            <v>500</v>
          </cell>
          <cell r="N227"/>
          <cell r="O227"/>
          <cell r="P227"/>
          <cell r="Q227"/>
          <cell r="R227"/>
          <cell r="S227">
            <v>5500</v>
          </cell>
        </row>
        <row r="228">
          <cell r="B228">
            <v>3189</v>
          </cell>
          <cell r="C228" t="str">
            <v>يوليو</v>
          </cell>
          <cell r="D228" t="str">
            <v>كاش</v>
          </cell>
          <cell r="E228" t="str">
            <v>خارج العمل</v>
          </cell>
          <cell r="F228" t="str">
            <v>خارج العمل</v>
          </cell>
          <cell r="G228" t="str">
            <v>محمد السيد جابر عبد العال</v>
          </cell>
          <cell r="H228"/>
          <cell r="I228">
            <v>5100</v>
          </cell>
          <cell r="J228">
            <v>300</v>
          </cell>
          <cell r="K228">
            <v>800</v>
          </cell>
          <cell r="L228"/>
          <cell r="M228">
            <v>300</v>
          </cell>
          <cell r="N228"/>
          <cell r="O228"/>
          <cell r="P228"/>
          <cell r="Q228"/>
          <cell r="R228"/>
          <cell r="S228">
            <v>6500</v>
          </cell>
        </row>
        <row r="229">
          <cell r="B229">
            <v>3208</v>
          </cell>
          <cell r="C229" t="str">
            <v>يوليو</v>
          </cell>
          <cell r="D229" t="str">
            <v>كاش</v>
          </cell>
          <cell r="E229" t="str">
            <v>ابرة واحدة مراحل الصدر</v>
          </cell>
          <cell r="F229" t="str">
            <v>التجهيز</v>
          </cell>
          <cell r="G229" t="str">
            <v>روان محمد المرسي المرسي</v>
          </cell>
          <cell r="H229"/>
          <cell r="I229">
            <v>3600</v>
          </cell>
          <cell r="J229">
            <v>300</v>
          </cell>
          <cell r="K229">
            <v>300</v>
          </cell>
          <cell r="L229"/>
          <cell r="M229">
            <v>300</v>
          </cell>
          <cell r="N229"/>
          <cell r="O229"/>
          <cell r="P229"/>
          <cell r="Q229"/>
          <cell r="R229"/>
          <cell r="S229">
            <v>4500</v>
          </cell>
        </row>
        <row r="230">
          <cell r="B230">
            <v>3268</v>
          </cell>
          <cell r="C230" t="str">
            <v>يونيو</v>
          </cell>
          <cell r="D230" t="str">
            <v>كاش</v>
          </cell>
          <cell r="E230" t="str">
            <v>مساعد</v>
          </cell>
          <cell r="F230" t="str">
            <v>خط 4</v>
          </cell>
          <cell r="G230" t="str">
            <v>عمرو احمد محمد الغريب فلا</v>
          </cell>
          <cell r="H230"/>
          <cell r="I230">
            <v>2400</v>
          </cell>
          <cell r="J230">
            <v>300</v>
          </cell>
          <cell r="K230">
            <v>300</v>
          </cell>
          <cell r="L230"/>
          <cell r="M230">
            <v>300</v>
          </cell>
          <cell r="N230"/>
          <cell r="O230"/>
          <cell r="P230"/>
          <cell r="Q230"/>
          <cell r="R230"/>
          <cell r="S230">
            <v>3300</v>
          </cell>
        </row>
        <row r="231">
          <cell r="B231">
            <v>2378</v>
          </cell>
          <cell r="C231" t="str">
            <v>يونيو</v>
          </cell>
          <cell r="D231" t="str">
            <v>فيزا اهلي</v>
          </cell>
          <cell r="E231" t="str">
            <v>تشطيب</v>
          </cell>
          <cell r="F231" t="str">
            <v>التشطيب</v>
          </cell>
          <cell r="G231" t="str">
            <v>سمر محمد مصطفى</v>
          </cell>
          <cell r="H231"/>
          <cell r="I231">
            <v>3100</v>
          </cell>
          <cell r="J231">
            <v>300</v>
          </cell>
          <cell r="K231">
            <v>300</v>
          </cell>
          <cell r="L231"/>
          <cell r="M231">
            <v>200</v>
          </cell>
          <cell r="N231"/>
          <cell r="O231">
            <v>500</v>
          </cell>
          <cell r="P231"/>
          <cell r="Q231"/>
          <cell r="R231"/>
          <cell r="S231">
            <v>4400</v>
          </cell>
        </row>
        <row r="232">
          <cell r="B232">
            <v>1097</v>
          </cell>
          <cell r="C232" t="str">
            <v>ديسمبر</v>
          </cell>
          <cell r="D232" t="str">
            <v>فيزا قاهرة</v>
          </cell>
          <cell r="E232" t="str">
            <v>جوكر</v>
          </cell>
          <cell r="F232" t="str">
            <v>خط الفنيش 1</v>
          </cell>
          <cell r="G232" t="str">
            <v>عزة عزت احمد إبراهيم</v>
          </cell>
          <cell r="H232"/>
          <cell r="I232">
            <v>5200</v>
          </cell>
          <cell r="J232">
            <v>300</v>
          </cell>
          <cell r="K232">
            <v>1000</v>
          </cell>
          <cell r="L232"/>
          <cell r="M232">
            <v>500</v>
          </cell>
          <cell r="N232"/>
          <cell r="O232"/>
          <cell r="P232"/>
          <cell r="Q232"/>
          <cell r="R232"/>
          <cell r="S232">
            <v>7000</v>
          </cell>
        </row>
        <row r="233">
          <cell r="B233">
            <v>2579</v>
          </cell>
          <cell r="C233" t="str">
            <v>يوليو</v>
          </cell>
          <cell r="D233" t="str">
            <v>فيزا قاهرة</v>
          </cell>
          <cell r="E233" t="str">
            <v>زم</v>
          </cell>
          <cell r="F233" t="str">
            <v>خط الظهر 1</v>
          </cell>
          <cell r="G233" t="str">
            <v>احمد محمد سعد أبو العطا</v>
          </cell>
          <cell r="H233"/>
          <cell r="I233">
            <v>4300</v>
          </cell>
          <cell r="J233">
            <v>300</v>
          </cell>
          <cell r="K233">
            <v>600</v>
          </cell>
          <cell r="L233"/>
          <cell r="M233">
            <v>300</v>
          </cell>
          <cell r="N233"/>
          <cell r="O233"/>
          <cell r="P233"/>
          <cell r="Q233"/>
          <cell r="R233"/>
          <cell r="S233">
            <v>5500</v>
          </cell>
        </row>
        <row r="234">
          <cell r="B234">
            <v>0</v>
          </cell>
          <cell r="C234" t="str">
            <v>لا يوجد</v>
          </cell>
          <cell r="D234" t="str">
            <v>كاش</v>
          </cell>
          <cell r="E234">
            <v>0</v>
          </cell>
          <cell r="F234">
            <v>0</v>
          </cell>
          <cell r="G234">
            <v>0</v>
          </cell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>
            <v>0</v>
          </cell>
        </row>
        <row r="235">
          <cell r="B235">
            <v>1063</v>
          </cell>
          <cell r="C235" t="str">
            <v>مايو</v>
          </cell>
          <cell r="D235" t="str">
            <v>كاش</v>
          </cell>
          <cell r="E235" t="str">
            <v>جودة نهائي</v>
          </cell>
          <cell r="F235" t="str">
            <v>نهائي</v>
          </cell>
          <cell r="G235" t="str">
            <v>سلمى محمد عباس محمدين على</v>
          </cell>
          <cell r="H235"/>
          <cell r="I235">
            <v>5000</v>
          </cell>
          <cell r="J235">
            <v>300</v>
          </cell>
          <cell r="K235">
            <v>300</v>
          </cell>
          <cell r="L235"/>
          <cell r="M235">
            <v>400</v>
          </cell>
          <cell r="N235"/>
          <cell r="O235">
            <v>500</v>
          </cell>
          <cell r="P235"/>
          <cell r="Q235"/>
          <cell r="R235"/>
          <cell r="S235">
            <v>6500</v>
          </cell>
        </row>
        <row r="236">
          <cell r="B236">
            <v>3511</v>
          </cell>
          <cell r="C236" t="str">
            <v>لا يوجد</v>
          </cell>
          <cell r="D236" t="str">
            <v>كاش</v>
          </cell>
          <cell r="E236" t="str">
            <v>علامة</v>
          </cell>
          <cell r="F236" t="str">
            <v>خط الظهر 1</v>
          </cell>
          <cell r="G236" t="str">
            <v>شهد محمد محمد عبده جبر</v>
          </cell>
          <cell r="H236"/>
          <cell r="I236">
            <v>2100</v>
          </cell>
          <cell r="J236">
            <v>300</v>
          </cell>
          <cell r="K236">
            <v>300</v>
          </cell>
          <cell r="L236"/>
          <cell r="M236">
            <v>300</v>
          </cell>
          <cell r="N236"/>
          <cell r="O236"/>
          <cell r="P236"/>
          <cell r="Q236"/>
          <cell r="R236"/>
          <cell r="S236">
            <v>3000</v>
          </cell>
        </row>
        <row r="237">
          <cell r="B237">
            <v>3074</v>
          </cell>
          <cell r="C237" t="str">
            <v>يونيو</v>
          </cell>
          <cell r="D237" t="str">
            <v>فيزا قاهرة</v>
          </cell>
          <cell r="E237" t="str">
            <v>رليز تجميع</v>
          </cell>
          <cell r="F237" t="str">
            <v>خط الفنيش 1</v>
          </cell>
          <cell r="G237" t="str">
            <v>سميحة البلاسي ابو المعاطي</v>
          </cell>
          <cell r="H237"/>
          <cell r="I237">
            <v>3200</v>
          </cell>
          <cell r="J237">
            <v>300</v>
          </cell>
          <cell r="K237">
            <v>300</v>
          </cell>
          <cell r="L237"/>
          <cell r="M237">
            <v>200</v>
          </cell>
          <cell r="N237"/>
          <cell r="O237"/>
          <cell r="P237"/>
          <cell r="Q237"/>
          <cell r="R237"/>
          <cell r="S237">
            <v>4000</v>
          </cell>
        </row>
        <row r="238">
          <cell r="B238">
            <v>3587</v>
          </cell>
          <cell r="C238" t="str">
            <v>لا يوجد</v>
          </cell>
          <cell r="D238" t="str">
            <v>كاش</v>
          </cell>
          <cell r="E238" t="str">
            <v>علامة</v>
          </cell>
          <cell r="F238" t="str">
            <v>خط الفنيش 2</v>
          </cell>
          <cell r="G238" t="str">
            <v>سلمى رضا اسعد جمعة نوفل</v>
          </cell>
          <cell r="H238"/>
          <cell r="I238">
            <v>2600</v>
          </cell>
          <cell r="J238">
            <v>300</v>
          </cell>
          <cell r="K238">
            <v>300</v>
          </cell>
          <cell r="L238"/>
          <cell r="M238">
            <v>300</v>
          </cell>
          <cell r="N238"/>
          <cell r="O238"/>
          <cell r="P238"/>
          <cell r="Q238"/>
          <cell r="R238"/>
          <cell r="S238">
            <v>3500</v>
          </cell>
        </row>
        <row r="239">
          <cell r="B239">
            <v>44</v>
          </cell>
          <cell r="C239" t="str">
            <v>أغسطس</v>
          </cell>
          <cell r="D239" t="str">
            <v>فيزا قاهرة</v>
          </cell>
          <cell r="E239" t="str">
            <v>تعبئة ومراجعة باركود</v>
          </cell>
          <cell r="F239" t="str">
            <v>نهائي</v>
          </cell>
          <cell r="G239" t="str">
            <v>اسراء محمود محمد ابرهيم</v>
          </cell>
          <cell r="H239"/>
          <cell r="I239">
            <v>3800</v>
          </cell>
          <cell r="J239">
            <v>300</v>
          </cell>
          <cell r="K239">
            <v>300</v>
          </cell>
          <cell r="L239">
            <v>100</v>
          </cell>
          <cell r="M239">
            <v>300</v>
          </cell>
          <cell r="N239"/>
          <cell r="O239">
            <v>500</v>
          </cell>
          <cell r="P239"/>
          <cell r="Q239"/>
          <cell r="R239"/>
          <cell r="S239">
            <v>5300</v>
          </cell>
        </row>
        <row r="240">
          <cell r="B240">
            <v>1071</v>
          </cell>
          <cell r="C240" t="str">
            <v>ديسمبر</v>
          </cell>
          <cell r="D240" t="str">
            <v>فيزا قاهرة</v>
          </cell>
          <cell r="E240" t="str">
            <v>اوفر حجر وجنب</v>
          </cell>
          <cell r="F240" t="str">
            <v>خط الفنيش 1</v>
          </cell>
          <cell r="G240" t="str">
            <v>ميرفت جمال علي قاسم</v>
          </cell>
          <cell r="H240"/>
          <cell r="I240">
            <v>5000</v>
          </cell>
          <cell r="J240">
            <v>300</v>
          </cell>
          <cell r="K240">
            <v>1000</v>
          </cell>
          <cell r="L240"/>
          <cell r="M240">
            <v>500</v>
          </cell>
          <cell r="N240"/>
          <cell r="O240"/>
          <cell r="P240"/>
          <cell r="Q240"/>
          <cell r="R240"/>
          <cell r="S240">
            <v>6800</v>
          </cell>
        </row>
        <row r="241">
          <cell r="B241">
            <v>3472</v>
          </cell>
          <cell r="C241" t="str">
            <v>لا يوجد</v>
          </cell>
          <cell r="D241" t="str">
            <v>فيزا قاهرة</v>
          </cell>
          <cell r="E241" t="str">
            <v>التخطيط</v>
          </cell>
          <cell r="F241" t="str">
            <v>التخطيط</v>
          </cell>
          <cell r="G241" t="str">
            <v>محمد مجدي محمد الجمل</v>
          </cell>
          <cell r="H241"/>
          <cell r="I241">
            <v>4700</v>
          </cell>
          <cell r="J241">
            <v>300</v>
          </cell>
          <cell r="K241"/>
          <cell r="L241"/>
          <cell r="M241">
            <v>1000</v>
          </cell>
          <cell r="N241"/>
          <cell r="O241"/>
          <cell r="P241"/>
          <cell r="Q241"/>
          <cell r="R241"/>
          <cell r="S241">
            <v>6000</v>
          </cell>
        </row>
        <row r="242">
          <cell r="B242">
            <v>2660</v>
          </cell>
          <cell r="C242" t="str">
            <v>أغسطس</v>
          </cell>
          <cell r="D242" t="str">
            <v>فيزا قاهرة</v>
          </cell>
          <cell r="E242" t="str">
            <v>كبسول</v>
          </cell>
          <cell r="F242" t="str">
            <v>نهائي</v>
          </cell>
          <cell r="G242" t="str">
            <v>زكريا محمد نصر حسن الحماحمي</v>
          </cell>
          <cell r="H242"/>
          <cell r="I242">
            <v>4000</v>
          </cell>
          <cell r="J242">
            <v>300</v>
          </cell>
          <cell r="K242">
            <v>300</v>
          </cell>
          <cell r="L242"/>
          <cell r="M242">
            <v>200</v>
          </cell>
          <cell r="N242"/>
          <cell r="O242"/>
          <cell r="P242"/>
          <cell r="Q242"/>
          <cell r="R242"/>
          <cell r="S242">
            <v>4800</v>
          </cell>
        </row>
        <row r="243">
          <cell r="B243">
            <v>0</v>
          </cell>
          <cell r="C243" t="str">
            <v>لا يوجد</v>
          </cell>
          <cell r="D243" t="str">
            <v>كاش</v>
          </cell>
          <cell r="E243">
            <v>0</v>
          </cell>
          <cell r="F243">
            <v>0</v>
          </cell>
          <cell r="G243">
            <v>0</v>
          </cell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>
            <v>0</v>
          </cell>
        </row>
        <row r="244">
          <cell r="B244">
            <v>3514</v>
          </cell>
          <cell r="C244" t="str">
            <v>لا يوجد</v>
          </cell>
          <cell r="D244" t="str">
            <v>كاش</v>
          </cell>
          <cell r="E244" t="str">
            <v>مساعدة</v>
          </cell>
          <cell r="F244" t="str">
            <v>خط الفنيش 2</v>
          </cell>
          <cell r="G244" t="str">
            <v>الاء منير محمد عبدالمقصود عشري</v>
          </cell>
          <cell r="H244"/>
          <cell r="I244">
            <v>2100</v>
          </cell>
          <cell r="J244">
            <v>300</v>
          </cell>
          <cell r="K244">
            <v>300</v>
          </cell>
          <cell r="L244"/>
          <cell r="M244">
            <v>300</v>
          </cell>
          <cell r="N244"/>
          <cell r="O244"/>
          <cell r="P244"/>
          <cell r="Q244"/>
          <cell r="R244"/>
          <cell r="S244">
            <v>3000</v>
          </cell>
        </row>
        <row r="245">
          <cell r="B245">
            <v>3402</v>
          </cell>
          <cell r="C245" t="str">
            <v>ديسمبر</v>
          </cell>
          <cell r="D245" t="str">
            <v>فيزا قاهرة</v>
          </cell>
          <cell r="E245" t="str">
            <v>تشييم</v>
          </cell>
          <cell r="F245" t="str">
            <v>خط الظهر 2</v>
          </cell>
          <cell r="G245" t="str">
            <v>كريم ابراهيم محمد مقبل خليل</v>
          </cell>
          <cell r="H245"/>
          <cell r="I245">
            <v>4250</v>
          </cell>
          <cell r="J245">
            <v>300</v>
          </cell>
          <cell r="K245">
            <v>300</v>
          </cell>
          <cell r="L245">
            <v>150</v>
          </cell>
          <cell r="M245">
            <v>500</v>
          </cell>
          <cell r="N245"/>
          <cell r="O245"/>
          <cell r="P245"/>
          <cell r="Q245"/>
          <cell r="R245"/>
          <cell r="S245">
            <v>5500</v>
          </cell>
        </row>
        <row r="246">
          <cell r="B246">
            <v>2651</v>
          </cell>
          <cell r="C246" t="str">
            <v>مايو</v>
          </cell>
          <cell r="D246" t="str">
            <v>كاش</v>
          </cell>
          <cell r="E246" t="str">
            <v>رليز قص</v>
          </cell>
          <cell r="F246" t="str">
            <v>خط الفنيش 1</v>
          </cell>
          <cell r="G246" t="str">
            <v>محمد مختار محمد مصطفى سالم</v>
          </cell>
          <cell r="H246"/>
          <cell r="I246">
            <v>3900</v>
          </cell>
          <cell r="J246">
            <v>300</v>
          </cell>
          <cell r="K246"/>
          <cell r="L246"/>
          <cell r="M246">
            <v>300</v>
          </cell>
          <cell r="N246"/>
          <cell r="O246"/>
          <cell r="P246"/>
          <cell r="Q246"/>
          <cell r="R246"/>
          <cell r="S246">
            <v>4500</v>
          </cell>
        </row>
        <row r="247">
          <cell r="B247">
            <v>3061</v>
          </cell>
          <cell r="C247" t="str">
            <v>يوليو</v>
          </cell>
          <cell r="D247" t="str">
            <v>فيزا قاهرة</v>
          </cell>
          <cell r="E247" t="str">
            <v>ابرة واحدة+سوستة</v>
          </cell>
          <cell r="F247" t="str">
            <v>التجهيز</v>
          </cell>
          <cell r="G247" t="str">
            <v>هايدي عابد السيد محمد ابراهيم</v>
          </cell>
          <cell r="H247"/>
          <cell r="I247">
            <v>4100</v>
          </cell>
          <cell r="J247">
            <v>300</v>
          </cell>
          <cell r="K247">
            <v>300</v>
          </cell>
          <cell r="L247"/>
          <cell r="M247">
            <v>300</v>
          </cell>
          <cell r="N247"/>
          <cell r="O247">
            <v>500</v>
          </cell>
          <cell r="P247"/>
          <cell r="Q247"/>
          <cell r="R247"/>
          <cell r="S247">
            <v>5500</v>
          </cell>
        </row>
        <row r="248">
          <cell r="B248">
            <v>2634</v>
          </cell>
          <cell r="C248" t="str">
            <v>ديسمبر</v>
          </cell>
          <cell r="D248" t="str">
            <v>فيزا قاهرة</v>
          </cell>
          <cell r="E248" t="str">
            <v>فرماتورة</v>
          </cell>
          <cell r="F248" t="str">
            <v>عراوي</v>
          </cell>
          <cell r="G248" t="str">
            <v>فارس محمد رشاد محمد سالم</v>
          </cell>
          <cell r="H248"/>
          <cell r="I248">
            <v>4600</v>
          </cell>
          <cell r="J248">
            <v>300</v>
          </cell>
          <cell r="K248">
            <v>300</v>
          </cell>
          <cell r="L248"/>
          <cell r="M248">
            <v>300</v>
          </cell>
          <cell r="N248"/>
          <cell r="O248"/>
          <cell r="P248"/>
          <cell r="Q248"/>
          <cell r="R248"/>
          <cell r="S248">
            <v>5500</v>
          </cell>
        </row>
        <row r="249">
          <cell r="B249">
            <v>3158</v>
          </cell>
          <cell r="C249" t="str">
            <v>أبريل</v>
          </cell>
          <cell r="D249" t="str">
            <v>كاش</v>
          </cell>
          <cell r="E249" t="str">
            <v>مكنة</v>
          </cell>
          <cell r="F249" t="str">
            <v>المكواه</v>
          </cell>
          <cell r="G249" t="str">
            <v>عيد ابراهيم سيد احمد</v>
          </cell>
          <cell r="H249"/>
          <cell r="I249">
            <v>3500</v>
          </cell>
          <cell r="J249">
            <v>300</v>
          </cell>
          <cell r="K249">
            <v>500</v>
          </cell>
          <cell r="L249"/>
          <cell r="M249">
            <v>500</v>
          </cell>
          <cell r="N249"/>
          <cell r="O249"/>
          <cell r="P249"/>
          <cell r="Q249"/>
          <cell r="R249"/>
          <cell r="S249">
            <v>4800</v>
          </cell>
        </row>
        <row r="250">
          <cell r="B250">
            <v>2285</v>
          </cell>
          <cell r="C250" t="str">
            <v>ديسمبر</v>
          </cell>
          <cell r="D250" t="str">
            <v>فيزا قاهرة</v>
          </cell>
          <cell r="E250" t="str">
            <v>خياط</v>
          </cell>
          <cell r="F250" t="str">
            <v>العينات</v>
          </cell>
          <cell r="G250" t="str">
            <v>احمد محمد السعيد</v>
          </cell>
          <cell r="H250"/>
          <cell r="I250">
            <v>3750</v>
          </cell>
          <cell r="J250">
            <v>300</v>
          </cell>
          <cell r="K250">
            <v>300</v>
          </cell>
          <cell r="L250">
            <v>150</v>
          </cell>
          <cell r="M250">
            <v>300</v>
          </cell>
          <cell r="N250"/>
          <cell r="O250">
            <v>500</v>
          </cell>
          <cell r="P250"/>
          <cell r="Q250"/>
          <cell r="R250"/>
          <cell r="S250">
            <v>5300</v>
          </cell>
        </row>
        <row r="251">
          <cell r="B251">
            <v>2753</v>
          </cell>
          <cell r="C251" t="str">
            <v>لا يوجد</v>
          </cell>
          <cell r="D251" t="str">
            <v>فيزا قاهرة</v>
          </cell>
          <cell r="E251" t="str">
            <v>ستيكر</v>
          </cell>
          <cell r="F251" t="str">
            <v>عراوي</v>
          </cell>
          <cell r="G251" t="str">
            <v>اسماء علي محمد محمد الناغية</v>
          </cell>
          <cell r="H251"/>
          <cell r="I251">
            <v>3100</v>
          </cell>
          <cell r="J251">
            <v>300</v>
          </cell>
          <cell r="K251">
            <v>300</v>
          </cell>
          <cell r="L251"/>
          <cell r="M251">
            <v>300</v>
          </cell>
          <cell r="N251"/>
          <cell r="O251"/>
          <cell r="P251"/>
          <cell r="Q251"/>
          <cell r="R251"/>
          <cell r="S251">
            <v>4000</v>
          </cell>
        </row>
        <row r="252">
          <cell r="B252">
            <v>1044</v>
          </cell>
          <cell r="C252" t="str">
            <v>أغسطس</v>
          </cell>
          <cell r="D252" t="str">
            <v>كاش</v>
          </cell>
          <cell r="E252" t="str">
            <v>مساعدة</v>
          </cell>
          <cell r="F252" t="str">
            <v>خط 4</v>
          </cell>
          <cell r="G252" t="str">
            <v>روايح على على ابو المعاطى</v>
          </cell>
          <cell r="H252"/>
          <cell r="I252">
            <v>4600</v>
          </cell>
          <cell r="J252">
            <v>300</v>
          </cell>
          <cell r="K252">
            <v>300</v>
          </cell>
          <cell r="L252"/>
          <cell r="M252">
            <v>300</v>
          </cell>
          <cell r="N252"/>
          <cell r="O252">
            <v>500</v>
          </cell>
          <cell r="P252"/>
          <cell r="Q252"/>
          <cell r="R252"/>
          <cell r="S252">
            <v>6000</v>
          </cell>
        </row>
        <row r="253">
          <cell r="B253">
            <v>3582</v>
          </cell>
          <cell r="C253" t="str">
            <v>لا يوجد</v>
          </cell>
          <cell r="D253" t="str">
            <v>كاش</v>
          </cell>
          <cell r="E253" t="str">
            <v>مكواه نهائي</v>
          </cell>
          <cell r="F253" t="str">
            <v>نهائي</v>
          </cell>
          <cell r="G253" t="str">
            <v>محمود رمضان محمد سليمان الجعيو</v>
          </cell>
          <cell r="H253"/>
          <cell r="I253">
            <v>5200</v>
          </cell>
          <cell r="J253">
            <v>300</v>
          </cell>
          <cell r="K253">
            <v>500</v>
          </cell>
          <cell r="L253"/>
          <cell r="M253">
            <v>500</v>
          </cell>
          <cell r="N253"/>
          <cell r="O253">
            <v>500</v>
          </cell>
          <cell r="P253"/>
          <cell r="Q253"/>
          <cell r="R253"/>
          <cell r="S253">
            <v>7000</v>
          </cell>
        </row>
        <row r="254">
          <cell r="B254">
            <v>0</v>
          </cell>
          <cell r="C254" t="str">
            <v>لا يوجد</v>
          </cell>
          <cell r="D254" t="str">
            <v>كاش</v>
          </cell>
          <cell r="E254">
            <v>0</v>
          </cell>
          <cell r="F254">
            <v>0</v>
          </cell>
          <cell r="G254">
            <v>0</v>
          </cell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>
            <v>0</v>
          </cell>
        </row>
        <row r="255">
          <cell r="B255">
            <v>2202</v>
          </cell>
          <cell r="C255" t="str">
            <v>مايو</v>
          </cell>
          <cell r="D255" t="str">
            <v>كاش</v>
          </cell>
          <cell r="E255" t="str">
            <v>مساعدة</v>
          </cell>
          <cell r="F255" t="str">
            <v>خط الفنيش 3</v>
          </cell>
          <cell r="G255" t="str">
            <v>بسمه محمود العاصى</v>
          </cell>
          <cell r="H255"/>
          <cell r="I255">
            <v>3000</v>
          </cell>
          <cell r="J255">
            <v>300</v>
          </cell>
          <cell r="K255">
            <v>300</v>
          </cell>
          <cell r="L255"/>
          <cell r="M255">
            <v>200</v>
          </cell>
          <cell r="N255"/>
          <cell r="O255">
            <v>500</v>
          </cell>
          <cell r="P255"/>
          <cell r="Q255"/>
          <cell r="R255"/>
          <cell r="S255">
            <v>4300</v>
          </cell>
        </row>
        <row r="256">
          <cell r="B256">
            <v>2616</v>
          </cell>
          <cell r="C256" t="str">
            <v>لا يوجد</v>
          </cell>
          <cell r="D256" t="str">
            <v>كاش</v>
          </cell>
          <cell r="E256" t="str">
            <v>خياطة</v>
          </cell>
          <cell r="F256" t="str">
            <v>خط الظهر 1</v>
          </cell>
          <cell r="G256" t="str">
            <v>نسمة محمد ابراهيم السيد</v>
          </cell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>
            <v>0</v>
          </cell>
        </row>
        <row r="257">
          <cell r="B257">
            <v>2460</v>
          </cell>
          <cell r="C257" t="str">
            <v>لا يوجد</v>
          </cell>
          <cell r="D257" t="str">
            <v>كاش</v>
          </cell>
          <cell r="E257" t="str">
            <v>جوكر</v>
          </cell>
          <cell r="F257" t="str">
            <v>خط الفنيش 3</v>
          </cell>
          <cell r="G257" t="str">
            <v>محمد محمد حلمى عثمان الحديدى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>
            <v>0</v>
          </cell>
        </row>
        <row r="258">
          <cell r="B258">
            <v>1052</v>
          </cell>
          <cell r="C258" t="str">
            <v>مايو</v>
          </cell>
          <cell r="D258" t="str">
            <v>فيزا قاهرة</v>
          </cell>
          <cell r="E258" t="str">
            <v>تشطيب نهائي</v>
          </cell>
          <cell r="F258" t="str">
            <v>نهائي</v>
          </cell>
          <cell r="G258" t="str">
            <v>احمد محمد عوض السيد عوض</v>
          </cell>
          <cell r="H258"/>
          <cell r="I258">
            <v>2900</v>
          </cell>
          <cell r="J258">
            <v>300</v>
          </cell>
          <cell r="K258">
            <v>300</v>
          </cell>
          <cell r="L258"/>
          <cell r="M258">
            <v>300</v>
          </cell>
          <cell r="N258"/>
          <cell r="O258">
            <v>500</v>
          </cell>
          <cell r="P258"/>
          <cell r="Q258"/>
          <cell r="R258"/>
          <cell r="S258">
            <v>4300</v>
          </cell>
        </row>
        <row r="259">
          <cell r="B259">
            <v>3136</v>
          </cell>
          <cell r="C259" t="str">
            <v>ديسمبر</v>
          </cell>
          <cell r="D259" t="str">
            <v>كاش</v>
          </cell>
          <cell r="E259" t="str">
            <v>علامة كمر</v>
          </cell>
          <cell r="F259" t="str">
            <v>خط الفنيش 3</v>
          </cell>
          <cell r="G259" t="str">
            <v>نبيلة فؤاد احمد الحلاب</v>
          </cell>
          <cell r="H259"/>
          <cell r="I259">
            <v>4100</v>
          </cell>
          <cell r="J259">
            <v>300</v>
          </cell>
          <cell r="K259">
            <v>300</v>
          </cell>
          <cell r="L259"/>
          <cell r="M259">
            <v>300</v>
          </cell>
          <cell r="N259"/>
          <cell r="O259"/>
          <cell r="P259"/>
          <cell r="Q259"/>
          <cell r="R259"/>
          <cell r="S259">
            <v>5000</v>
          </cell>
        </row>
        <row r="260">
          <cell r="B260">
            <v>3273</v>
          </cell>
          <cell r="C260" t="str">
            <v>لا يوجد</v>
          </cell>
          <cell r="D260" t="str">
            <v>كاش</v>
          </cell>
          <cell r="E260" t="str">
            <v>مساعدة</v>
          </cell>
          <cell r="F260" t="str">
            <v>خط الفنيش 1</v>
          </cell>
          <cell r="G260" t="str">
            <v>دينا امين محمد حسن وهيب</v>
          </cell>
          <cell r="H260"/>
          <cell r="I260">
            <v>2100</v>
          </cell>
          <cell r="J260">
            <v>300</v>
          </cell>
          <cell r="K260">
            <v>300</v>
          </cell>
          <cell r="L260"/>
          <cell r="M260">
            <v>300</v>
          </cell>
          <cell r="N260"/>
          <cell r="O260"/>
          <cell r="P260"/>
          <cell r="Q260"/>
          <cell r="R260"/>
          <cell r="S260">
            <v>3000</v>
          </cell>
        </row>
        <row r="261">
          <cell r="B261">
            <v>2570</v>
          </cell>
          <cell r="C261" t="str">
            <v>يوليو</v>
          </cell>
          <cell r="D261" t="str">
            <v>كاش</v>
          </cell>
          <cell r="E261" t="str">
            <v>رليز تجميع</v>
          </cell>
          <cell r="F261" t="str">
            <v>خط الفنيش 2</v>
          </cell>
          <cell r="G261" t="str">
            <v>فوزية محمد محمود طه</v>
          </cell>
          <cell r="H261"/>
          <cell r="I261">
            <v>3500</v>
          </cell>
          <cell r="J261">
            <v>300</v>
          </cell>
          <cell r="K261">
            <v>1000</v>
          </cell>
          <cell r="L261"/>
          <cell r="M261">
            <v>500</v>
          </cell>
          <cell r="N261"/>
          <cell r="O261">
            <v>500</v>
          </cell>
          <cell r="P261"/>
          <cell r="Q261"/>
          <cell r="R261"/>
          <cell r="S261">
            <v>5800</v>
          </cell>
        </row>
        <row r="262">
          <cell r="B262">
            <v>3584</v>
          </cell>
          <cell r="C262" t="str">
            <v>لا يوجد</v>
          </cell>
          <cell r="D262" t="str">
            <v>كاش</v>
          </cell>
          <cell r="E262" t="str">
            <v>مكواه نهائي</v>
          </cell>
          <cell r="F262" t="str">
            <v>نهائي</v>
          </cell>
          <cell r="G262" t="str">
            <v xml:space="preserve">ابراهيم الدسوقي ابراهيم محمد محمد </v>
          </cell>
          <cell r="H262"/>
          <cell r="I262">
            <v>3100</v>
          </cell>
          <cell r="J262">
            <v>300</v>
          </cell>
          <cell r="K262">
            <v>300</v>
          </cell>
          <cell r="L262"/>
          <cell r="M262">
            <v>300</v>
          </cell>
          <cell r="N262"/>
          <cell r="O262"/>
          <cell r="P262"/>
          <cell r="Q262"/>
          <cell r="R262"/>
          <cell r="S262">
            <v>4000</v>
          </cell>
        </row>
        <row r="263">
          <cell r="B263">
            <v>3516</v>
          </cell>
          <cell r="C263" t="str">
            <v>لا يوجد</v>
          </cell>
          <cell r="D263" t="str">
            <v>كاش</v>
          </cell>
          <cell r="E263" t="str">
            <v>كاتب انتاج</v>
          </cell>
          <cell r="F263" t="str">
            <v>الإدارة</v>
          </cell>
          <cell r="G263" t="str">
            <v>اسامة حسن محمد محمد حسن</v>
          </cell>
          <cell r="H263"/>
          <cell r="I263">
            <v>3400</v>
          </cell>
          <cell r="J263">
            <v>300</v>
          </cell>
          <cell r="K263"/>
          <cell r="L263"/>
          <cell r="M263">
            <v>300</v>
          </cell>
          <cell r="N263"/>
          <cell r="O263"/>
          <cell r="P263"/>
          <cell r="Q263"/>
          <cell r="R263"/>
          <cell r="S263">
            <v>4000</v>
          </cell>
        </row>
        <row r="264">
          <cell r="B264">
            <v>3581</v>
          </cell>
          <cell r="C264" t="str">
            <v>لا يوجد</v>
          </cell>
          <cell r="D264" t="str">
            <v>كاش</v>
          </cell>
          <cell r="E264" t="str">
            <v>مساعدة</v>
          </cell>
          <cell r="F264" t="str">
            <v>خط الظهر 2</v>
          </cell>
          <cell r="G264" t="str">
            <v xml:space="preserve">نوال محمود محمود احمد ابراهيم </v>
          </cell>
          <cell r="H264"/>
          <cell r="I264">
            <v>2600</v>
          </cell>
          <cell r="J264">
            <v>300</v>
          </cell>
          <cell r="K264">
            <v>300</v>
          </cell>
          <cell r="L264"/>
          <cell r="M264">
            <v>300</v>
          </cell>
          <cell r="N264"/>
          <cell r="O264"/>
          <cell r="P264"/>
          <cell r="Q264"/>
          <cell r="R264"/>
          <cell r="S264">
            <v>3500</v>
          </cell>
        </row>
        <row r="265">
          <cell r="B265">
            <v>3119</v>
          </cell>
          <cell r="C265" t="str">
            <v>ديسمبر</v>
          </cell>
          <cell r="D265" t="str">
            <v>فيزا قاهرة</v>
          </cell>
          <cell r="E265" t="str">
            <v>كرتش</v>
          </cell>
          <cell r="F265" t="str">
            <v>خط الصدر 1</v>
          </cell>
          <cell r="G265" t="str">
            <v>محمد السيد المرسي محمد البدوي</v>
          </cell>
          <cell r="H265"/>
          <cell r="I265">
            <v>4200</v>
          </cell>
          <cell r="J265">
            <v>300</v>
          </cell>
          <cell r="K265">
            <v>1000</v>
          </cell>
          <cell r="L265"/>
          <cell r="M265">
            <v>1000</v>
          </cell>
          <cell r="N265"/>
          <cell r="O265"/>
          <cell r="P265"/>
          <cell r="Q265"/>
          <cell r="R265"/>
          <cell r="S265">
            <v>6500</v>
          </cell>
        </row>
        <row r="266">
          <cell r="B266">
            <v>1</v>
          </cell>
          <cell r="C266" t="str">
            <v>لا يوجد</v>
          </cell>
          <cell r="D266" t="str">
            <v>كاش</v>
          </cell>
          <cell r="E266" t="str">
            <v>خارج العمل</v>
          </cell>
          <cell r="F266" t="str">
            <v>خارج العمل</v>
          </cell>
          <cell r="G266" t="str">
            <v>نور ابراهيم البدوي ابراهيم يوسف</v>
          </cell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>
            <v>0</v>
          </cell>
        </row>
        <row r="267">
          <cell r="B267">
            <v>2589</v>
          </cell>
          <cell r="C267" t="str">
            <v>مايو</v>
          </cell>
          <cell r="D267" t="str">
            <v>فيزا قاهرة</v>
          </cell>
          <cell r="E267" t="str">
            <v>فني كهرباء</v>
          </cell>
          <cell r="F267" t="str">
            <v>الصيانة</v>
          </cell>
          <cell r="G267" t="str">
            <v>محمد السيد محمد شحاتة عبده</v>
          </cell>
          <cell r="H267"/>
          <cell r="I267">
            <v>8700</v>
          </cell>
          <cell r="J267">
            <v>300</v>
          </cell>
          <cell r="K267"/>
          <cell r="L267"/>
          <cell r="M267">
            <v>500</v>
          </cell>
          <cell r="N267"/>
          <cell r="O267">
            <v>500</v>
          </cell>
          <cell r="P267"/>
          <cell r="Q267"/>
          <cell r="R267"/>
          <cell r="S267">
            <v>10000</v>
          </cell>
        </row>
        <row r="268">
          <cell r="B268">
            <v>3586</v>
          </cell>
          <cell r="C268" t="str">
            <v>لا يوجد</v>
          </cell>
          <cell r="D268" t="str">
            <v>كاش</v>
          </cell>
          <cell r="E268" t="str">
            <v>مساعدة</v>
          </cell>
          <cell r="F268" t="str">
            <v>خط الظهر 1</v>
          </cell>
          <cell r="G268" t="str">
            <v>نورهان فرج احمد سيد احمد الشخطور</v>
          </cell>
          <cell r="H268"/>
          <cell r="I268">
            <v>2600</v>
          </cell>
          <cell r="J268">
            <v>300</v>
          </cell>
          <cell r="K268">
            <v>300</v>
          </cell>
          <cell r="L268"/>
          <cell r="M268">
            <v>300</v>
          </cell>
          <cell r="N268"/>
          <cell r="O268"/>
          <cell r="P268"/>
          <cell r="Q268"/>
          <cell r="R268"/>
          <cell r="S268">
            <v>3500</v>
          </cell>
        </row>
        <row r="269">
          <cell r="B269">
            <v>0</v>
          </cell>
          <cell r="C269" t="str">
            <v>لا يوجد</v>
          </cell>
          <cell r="D269" t="str">
            <v>كاش</v>
          </cell>
          <cell r="E269">
            <v>0</v>
          </cell>
          <cell r="F269">
            <v>0</v>
          </cell>
          <cell r="G269">
            <v>0</v>
          </cell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>
            <v>0</v>
          </cell>
        </row>
        <row r="270">
          <cell r="B270">
            <v>0</v>
          </cell>
          <cell r="C270" t="str">
            <v>لا يوجد</v>
          </cell>
          <cell r="D270" t="str">
            <v>كاش</v>
          </cell>
          <cell r="E270">
            <v>0</v>
          </cell>
          <cell r="F270">
            <v>0</v>
          </cell>
          <cell r="G270">
            <v>0</v>
          </cell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>
            <v>0</v>
          </cell>
        </row>
        <row r="271">
          <cell r="B271">
            <v>3341</v>
          </cell>
          <cell r="C271" t="str">
            <v>لا يوجد</v>
          </cell>
          <cell r="D271" t="str">
            <v>كاش</v>
          </cell>
          <cell r="E271" t="str">
            <v>الإدارة الفنية</v>
          </cell>
          <cell r="F271" t="str">
            <v>الإدارة الفنية</v>
          </cell>
          <cell r="G271" t="str">
            <v>حنين السيد علي البلاسي جراوي</v>
          </cell>
          <cell r="H271"/>
          <cell r="I271">
            <v>4700</v>
          </cell>
          <cell r="J271">
            <v>300</v>
          </cell>
          <cell r="K271">
            <v>500</v>
          </cell>
          <cell r="L271"/>
          <cell r="M271">
            <v>500</v>
          </cell>
          <cell r="N271"/>
          <cell r="O271"/>
          <cell r="P271"/>
          <cell r="Q271"/>
          <cell r="R271"/>
          <cell r="S271">
            <v>6000</v>
          </cell>
        </row>
        <row r="272">
          <cell r="B272">
            <v>2554</v>
          </cell>
          <cell r="C272" t="str">
            <v>يونيو</v>
          </cell>
          <cell r="D272" t="str">
            <v>فيزا قاهرة</v>
          </cell>
          <cell r="E272" t="str">
            <v>تشطيب نهائي</v>
          </cell>
          <cell r="F272" t="str">
            <v>نهائي</v>
          </cell>
          <cell r="G272" t="str">
            <v>روحية ابراهيم احمد جعفر</v>
          </cell>
          <cell r="H272"/>
          <cell r="I272">
            <v>2900</v>
          </cell>
          <cell r="J272">
            <v>300</v>
          </cell>
          <cell r="K272">
            <v>300</v>
          </cell>
          <cell r="L272"/>
          <cell r="M272">
            <v>300</v>
          </cell>
          <cell r="N272"/>
          <cell r="O272">
            <v>500</v>
          </cell>
          <cell r="P272"/>
          <cell r="Q272"/>
          <cell r="R272"/>
          <cell r="S272">
            <v>4300</v>
          </cell>
        </row>
        <row r="273">
          <cell r="B273">
            <v>2462</v>
          </cell>
          <cell r="C273" t="str">
            <v>أغسطس</v>
          </cell>
          <cell r="D273" t="str">
            <v>فيزا قاهرة</v>
          </cell>
          <cell r="E273" t="str">
            <v>جودة فنيش خط 1</v>
          </cell>
          <cell r="F273" t="str">
            <v>الجودة</v>
          </cell>
          <cell r="G273" t="str">
            <v xml:space="preserve">شريهان محمد محمود طه </v>
          </cell>
          <cell r="H273"/>
          <cell r="I273">
            <v>4700</v>
          </cell>
          <cell r="J273">
            <v>300</v>
          </cell>
          <cell r="K273">
            <v>1000</v>
          </cell>
          <cell r="L273"/>
          <cell r="M273">
            <v>1000</v>
          </cell>
          <cell r="N273"/>
          <cell r="O273"/>
          <cell r="P273"/>
          <cell r="Q273"/>
          <cell r="R273"/>
          <cell r="S273">
            <v>7000</v>
          </cell>
        </row>
        <row r="274">
          <cell r="B274">
            <v>3520</v>
          </cell>
          <cell r="C274" t="str">
            <v>لا يوجد</v>
          </cell>
          <cell r="D274" t="str">
            <v>كاش</v>
          </cell>
          <cell r="E274" t="str">
            <v>مساعدة</v>
          </cell>
          <cell r="F274" t="str">
            <v>خط الفنيش 2</v>
          </cell>
          <cell r="G274" t="str">
            <v>احترام احمد السيد علي</v>
          </cell>
          <cell r="H274"/>
          <cell r="I274">
            <v>2600</v>
          </cell>
          <cell r="J274">
            <v>300</v>
          </cell>
          <cell r="K274">
            <v>300</v>
          </cell>
          <cell r="L274"/>
          <cell r="M274">
            <v>300</v>
          </cell>
          <cell r="N274"/>
          <cell r="O274"/>
          <cell r="P274"/>
          <cell r="Q274"/>
          <cell r="R274"/>
          <cell r="S274">
            <v>3500</v>
          </cell>
        </row>
        <row r="275">
          <cell r="B275">
            <v>3265</v>
          </cell>
          <cell r="C275" t="str">
            <v>يونيو</v>
          </cell>
          <cell r="D275" t="str">
            <v>كاش</v>
          </cell>
          <cell r="E275" t="str">
            <v>خياطة</v>
          </cell>
          <cell r="F275" t="str">
            <v>خط الظهر 1</v>
          </cell>
          <cell r="G275" t="str">
            <v xml:space="preserve">واطفة  محمود عبده عبدالله </v>
          </cell>
          <cell r="H275"/>
          <cell r="I275">
            <v>2900</v>
          </cell>
          <cell r="J275">
            <v>300</v>
          </cell>
          <cell r="K275">
            <v>1000</v>
          </cell>
          <cell r="L275"/>
          <cell r="M275">
            <v>300</v>
          </cell>
          <cell r="N275"/>
          <cell r="O275"/>
          <cell r="P275"/>
          <cell r="Q275"/>
          <cell r="R275"/>
          <cell r="S275">
            <v>4500</v>
          </cell>
        </row>
        <row r="276">
          <cell r="B276">
            <v>2695</v>
          </cell>
          <cell r="C276" t="str">
            <v>مايو</v>
          </cell>
          <cell r="D276" t="str">
            <v>كاش</v>
          </cell>
          <cell r="E276" t="str">
            <v>مساعدة</v>
          </cell>
          <cell r="F276" t="str">
            <v>خط الظهر 1</v>
          </cell>
          <cell r="G276" t="str">
            <v>نوران شوقي السيد عرفات</v>
          </cell>
          <cell r="H276"/>
          <cell r="I276">
            <v>3200</v>
          </cell>
          <cell r="J276">
            <v>300</v>
          </cell>
          <cell r="K276">
            <v>300</v>
          </cell>
          <cell r="L276"/>
          <cell r="M276">
            <v>200</v>
          </cell>
          <cell r="N276"/>
          <cell r="O276"/>
          <cell r="P276"/>
          <cell r="Q276"/>
          <cell r="R276"/>
          <cell r="S276">
            <v>4000</v>
          </cell>
        </row>
        <row r="277">
          <cell r="B277">
            <v>3139</v>
          </cell>
          <cell r="C277" t="str">
            <v>يونيو</v>
          </cell>
          <cell r="D277" t="str">
            <v>كاش</v>
          </cell>
          <cell r="E277" t="str">
            <v>خارج العمل</v>
          </cell>
          <cell r="F277" t="str">
            <v>خارج العمل</v>
          </cell>
          <cell r="G277" t="str">
            <v>ايات عماد الدين جمعة</v>
          </cell>
          <cell r="H277"/>
          <cell r="I277">
            <v>2400</v>
          </cell>
          <cell r="J277">
            <v>300</v>
          </cell>
          <cell r="K277">
            <v>500</v>
          </cell>
          <cell r="L277"/>
          <cell r="M277">
            <v>300</v>
          </cell>
          <cell r="N277"/>
          <cell r="O277"/>
          <cell r="P277"/>
          <cell r="Q277"/>
          <cell r="R277"/>
          <cell r="S277">
            <v>3500</v>
          </cell>
        </row>
        <row r="278">
          <cell r="B278">
            <v>2744</v>
          </cell>
          <cell r="C278" t="str">
            <v>يونيو</v>
          </cell>
          <cell r="D278" t="str">
            <v>فيزا قاهرة</v>
          </cell>
          <cell r="E278" t="str">
            <v>تشييم حجر</v>
          </cell>
          <cell r="F278" t="str">
            <v>خط الفنيش 3</v>
          </cell>
          <cell r="G278" t="str">
            <v>يوسف السيد محمد حامد الحديدي</v>
          </cell>
          <cell r="H278"/>
          <cell r="I278">
            <v>3900</v>
          </cell>
          <cell r="J278">
            <v>300</v>
          </cell>
          <cell r="K278">
            <v>1000</v>
          </cell>
          <cell r="L278"/>
          <cell r="M278">
            <v>300</v>
          </cell>
          <cell r="N278"/>
          <cell r="O278">
            <v>500</v>
          </cell>
          <cell r="P278"/>
          <cell r="Q278"/>
          <cell r="R278"/>
          <cell r="S278">
            <v>6000</v>
          </cell>
        </row>
        <row r="279">
          <cell r="B279">
            <v>53</v>
          </cell>
          <cell r="C279" t="str">
            <v>يناير</v>
          </cell>
          <cell r="D279" t="str">
            <v>فيزا قاهرة</v>
          </cell>
          <cell r="E279" t="str">
            <v>اوفر جنب</v>
          </cell>
          <cell r="F279" t="str">
            <v>خط الفنيش 1</v>
          </cell>
          <cell r="G279" t="str">
            <v xml:space="preserve">هبه محمد رزق الشربيني الشاذلي </v>
          </cell>
          <cell r="H279">
            <v>322</v>
          </cell>
          <cell r="I279">
            <v>2200</v>
          </cell>
          <cell r="J279"/>
          <cell r="K279">
            <v>300</v>
          </cell>
          <cell r="L279"/>
          <cell r="M279">
            <v>500</v>
          </cell>
          <cell r="N279"/>
          <cell r="O279"/>
          <cell r="P279"/>
          <cell r="Q279"/>
          <cell r="R279"/>
          <cell r="S279">
            <v>3000</v>
          </cell>
        </row>
        <row r="280">
          <cell r="B280">
            <v>3429</v>
          </cell>
          <cell r="C280" t="str">
            <v>ديسمبر</v>
          </cell>
          <cell r="D280" t="str">
            <v>فيزا قاهرة</v>
          </cell>
          <cell r="E280" t="str">
            <v>الامن</v>
          </cell>
          <cell r="F280" t="str">
            <v>الامن</v>
          </cell>
          <cell r="G280" t="str">
            <v>ريهام عبده محمد طلعت</v>
          </cell>
          <cell r="H280"/>
          <cell r="I280">
            <v>3500</v>
          </cell>
          <cell r="J280">
            <v>300</v>
          </cell>
          <cell r="K280">
            <v>300</v>
          </cell>
          <cell r="L280"/>
          <cell r="M280">
            <v>300</v>
          </cell>
          <cell r="N280"/>
          <cell r="O280"/>
          <cell r="P280"/>
          <cell r="Q280"/>
          <cell r="R280"/>
          <cell r="S280">
            <v>4400</v>
          </cell>
        </row>
        <row r="281">
          <cell r="B281">
            <v>3431</v>
          </cell>
          <cell r="C281" t="str">
            <v>لا يوجد</v>
          </cell>
          <cell r="D281" t="str">
            <v>فيزا قاهرة</v>
          </cell>
          <cell r="E281" t="str">
            <v>تشييم سنتر</v>
          </cell>
          <cell r="F281" t="str">
            <v>خط الظهر 3</v>
          </cell>
          <cell r="G281" t="str">
            <v>ممدوح ابو زيد السيد صالح</v>
          </cell>
          <cell r="H281"/>
          <cell r="I281">
            <v>5200</v>
          </cell>
          <cell r="J281">
            <v>300</v>
          </cell>
          <cell r="K281">
            <v>1000</v>
          </cell>
          <cell r="L281"/>
          <cell r="M281">
            <v>1000</v>
          </cell>
          <cell r="N281"/>
          <cell r="O281"/>
          <cell r="P281"/>
          <cell r="Q281"/>
          <cell r="R281"/>
          <cell r="S281">
            <v>7500</v>
          </cell>
        </row>
        <row r="282">
          <cell r="B282">
            <v>3565</v>
          </cell>
          <cell r="C282" t="str">
            <v>لا يوجد</v>
          </cell>
          <cell r="D282" t="str">
            <v>كاش</v>
          </cell>
          <cell r="E282" t="str">
            <v>مدير الاقسام النهائية</v>
          </cell>
          <cell r="F282" t="str">
            <v>الإدارة</v>
          </cell>
          <cell r="G282" t="str">
            <v xml:space="preserve">محمد محمود عبدالحميد احمد بحر </v>
          </cell>
          <cell r="H282"/>
          <cell r="I282">
            <v>9700</v>
          </cell>
          <cell r="J282">
            <v>300</v>
          </cell>
          <cell r="K282">
            <v>5000</v>
          </cell>
          <cell r="L282"/>
          <cell r="M282">
            <v>3000</v>
          </cell>
          <cell r="N282"/>
          <cell r="O282">
            <v>2000</v>
          </cell>
          <cell r="P282"/>
          <cell r="Q282"/>
          <cell r="R282"/>
          <cell r="S282">
            <v>20000</v>
          </cell>
        </row>
        <row r="283">
          <cell r="B283">
            <v>3521</v>
          </cell>
          <cell r="C283" t="str">
            <v>لا يوجد</v>
          </cell>
          <cell r="D283" t="str">
            <v>كاش</v>
          </cell>
          <cell r="E283" t="str">
            <v>خارج العمل</v>
          </cell>
          <cell r="F283" t="str">
            <v>خارج العمل</v>
          </cell>
          <cell r="G283" t="str">
            <v>شهاب الاسمر عبدالله سلامة</v>
          </cell>
          <cell r="H283"/>
          <cell r="I283">
            <v>3100</v>
          </cell>
          <cell r="J283">
            <v>300</v>
          </cell>
          <cell r="K283">
            <v>300</v>
          </cell>
          <cell r="L283">
            <v>150</v>
          </cell>
          <cell r="M283">
            <v>300</v>
          </cell>
          <cell r="N283"/>
          <cell r="O283"/>
          <cell r="P283"/>
          <cell r="Q283"/>
          <cell r="R283"/>
          <cell r="S283">
            <v>4150</v>
          </cell>
        </row>
        <row r="284">
          <cell r="B284">
            <v>58</v>
          </cell>
          <cell r="C284" t="str">
            <v>يونيو</v>
          </cell>
          <cell r="D284" t="str">
            <v>فيزا قاهرة</v>
          </cell>
          <cell r="E284" t="str">
            <v>خياطة</v>
          </cell>
          <cell r="F284" t="str">
            <v>خط الفنيش 2</v>
          </cell>
          <cell r="G284" t="str">
            <v>بسملة احمد كامل عبدالعال</v>
          </cell>
          <cell r="H284">
            <v>322</v>
          </cell>
          <cell r="I284">
            <v>2000</v>
          </cell>
          <cell r="J284"/>
          <cell r="K284">
            <v>1000</v>
          </cell>
          <cell r="L284"/>
          <cell r="M284"/>
          <cell r="N284"/>
          <cell r="O284"/>
          <cell r="P284"/>
          <cell r="Q284"/>
          <cell r="R284"/>
          <cell r="S284">
            <v>3000</v>
          </cell>
        </row>
        <row r="285">
          <cell r="B285">
            <v>3430</v>
          </cell>
          <cell r="C285" t="str">
            <v>لا يوجد</v>
          </cell>
          <cell r="D285" t="str">
            <v>كاش</v>
          </cell>
          <cell r="E285" t="str">
            <v>تعبئة</v>
          </cell>
          <cell r="F285" t="str">
            <v>نهائي</v>
          </cell>
          <cell r="G285" t="str">
            <v>محمد عامر ابراهيم الفقي</v>
          </cell>
          <cell r="H285"/>
          <cell r="I285">
            <v>3500</v>
          </cell>
          <cell r="J285">
            <v>300</v>
          </cell>
          <cell r="K285">
            <v>500</v>
          </cell>
          <cell r="L285"/>
          <cell r="M285">
            <v>500</v>
          </cell>
          <cell r="N285"/>
          <cell r="O285"/>
          <cell r="P285"/>
          <cell r="Q285"/>
          <cell r="R285"/>
          <cell r="S285">
            <v>4800</v>
          </cell>
        </row>
        <row r="286">
          <cell r="B286">
            <v>0</v>
          </cell>
          <cell r="C286" t="str">
            <v>لا يوجد</v>
          </cell>
          <cell r="D286" t="str">
            <v>كاش</v>
          </cell>
          <cell r="E286">
            <v>0</v>
          </cell>
          <cell r="F286">
            <v>0</v>
          </cell>
          <cell r="G286">
            <v>0</v>
          </cell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>
            <v>0</v>
          </cell>
        </row>
        <row r="287">
          <cell r="B287">
            <v>3522</v>
          </cell>
          <cell r="C287" t="str">
            <v>لا يوجد</v>
          </cell>
          <cell r="D287" t="str">
            <v>كاش</v>
          </cell>
          <cell r="E287" t="str">
            <v>مساعدة</v>
          </cell>
          <cell r="F287" t="str">
            <v>خط الفنيش 2</v>
          </cell>
          <cell r="G287" t="str">
            <v>صابرين محمد الدداموني ابراهيم العاصي</v>
          </cell>
          <cell r="H287"/>
          <cell r="I287">
            <v>2600</v>
          </cell>
          <cell r="J287">
            <v>300</v>
          </cell>
          <cell r="K287">
            <v>300</v>
          </cell>
          <cell r="L287"/>
          <cell r="M287">
            <v>300</v>
          </cell>
          <cell r="N287"/>
          <cell r="O287"/>
          <cell r="P287"/>
          <cell r="Q287"/>
          <cell r="R287"/>
          <cell r="S287">
            <v>3500</v>
          </cell>
        </row>
        <row r="288">
          <cell r="B288">
            <v>62</v>
          </cell>
          <cell r="C288" t="str">
            <v>لا يوجد</v>
          </cell>
          <cell r="D288" t="str">
            <v>فيزا قاهرة</v>
          </cell>
          <cell r="E288" t="str">
            <v>مساعدة</v>
          </cell>
          <cell r="F288" t="str">
            <v>خط الفنيش 3</v>
          </cell>
          <cell r="G288" t="str">
            <v>فاطمة الزهراء عبدالله طه</v>
          </cell>
          <cell r="H288">
            <v>322</v>
          </cell>
          <cell r="I288">
            <v>2000</v>
          </cell>
          <cell r="J288"/>
          <cell r="K288"/>
          <cell r="L288"/>
          <cell r="M288"/>
          <cell r="N288"/>
          <cell r="O288"/>
          <cell r="P288"/>
          <cell r="Q288"/>
          <cell r="R288"/>
          <cell r="S288">
            <v>2000</v>
          </cell>
        </row>
        <row r="289">
          <cell r="B289">
            <v>20</v>
          </cell>
          <cell r="C289" t="str">
            <v>نوفمبر</v>
          </cell>
          <cell r="D289" t="str">
            <v>كاش</v>
          </cell>
          <cell r="E289" t="str">
            <v>خارج العمل</v>
          </cell>
          <cell r="F289" t="str">
            <v>خارج العمل</v>
          </cell>
          <cell r="G289" t="str">
            <v>ندى احمد احمد محروس</v>
          </cell>
          <cell r="H289"/>
          <cell r="I289">
            <v>5000</v>
          </cell>
          <cell r="J289">
            <v>300</v>
          </cell>
          <cell r="K289">
            <v>500</v>
          </cell>
          <cell r="L289"/>
          <cell r="M289">
            <v>500</v>
          </cell>
          <cell r="N289"/>
          <cell r="O289"/>
          <cell r="P289"/>
          <cell r="Q289"/>
          <cell r="R289"/>
          <cell r="S289">
            <v>6300</v>
          </cell>
        </row>
        <row r="290">
          <cell r="B290">
            <v>64</v>
          </cell>
          <cell r="C290" t="str">
            <v>يوليو</v>
          </cell>
          <cell r="D290" t="str">
            <v>كاش</v>
          </cell>
          <cell r="E290" t="str">
            <v>خارج العمل</v>
          </cell>
          <cell r="F290" t="str">
            <v>خارج العمل</v>
          </cell>
          <cell r="G290" t="str">
            <v>ملك اسلام أبو جريشة</v>
          </cell>
          <cell r="H290">
            <v>322</v>
          </cell>
          <cell r="I290">
            <v>2000</v>
          </cell>
          <cell r="J290"/>
          <cell r="K290"/>
          <cell r="L290"/>
          <cell r="M290">
            <v>1000</v>
          </cell>
          <cell r="N290"/>
          <cell r="O290"/>
          <cell r="P290"/>
          <cell r="Q290"/>
          <cell r="R290"/>
          <cell r="S290">
            <v>3000</v>
          </cell>
        </row>
        <row r="291">
          <cell r="B291">
            <v>65</v>
          </cell>
          <cell r="C291" t="str">
            <v>لا يوجد</v>
          </cell>
          <cell r="D291" t="str">
            <v>كاش</v>
          </cell>
          <cell r="E291" t="str">
            <v>خارج العمل</v>
          </cell>
          <cell r="F291" t="str">
            <v>خارج العمل</v>
          </cell>
          <cell r="G291" t="str">
            <v>شروق احمد محمد الشبراوي</v>
          </cell>
          <cell r="H291">
            <v>322</v>
          </cell>
          <cell r="I291">
            <v>2000</v>
          </cell>
          <cell r="J291"/>
          <cell r="K291"/>
          <cell r="L291"/>
          <cell r="M291"/>
          <cell r="N291"/>
          <cell r="O291"/>
          <cell r="P291"/>
          <cell r="Q291"/>
          <cell r="R291"/>
          <cell r="S291">
            <v>2000</v>
          </cell>
        </row>
        <row r="292">
          <cell r="B292">
            <v>3019</v>
          </cell>
          <cell r="C292" t="str">
            <v>ديسمبر</v>
          </cell>
          <cell r="D292" t="str">
            <v>فيزا قاهرة</v>
          </cell>
          <cell r="E292" t="str">
            <v>الصيانة</v>
          </cell>
          <cell r="F292" t="str">
            <v>الصيانة</v>
          </cell>
          <cell r="G292" t="str">
            <v>يوسف شريف السيد حامد حسانين</v>
          </cell>
          <cell r="H292"/>
          <cell r="I292">
            <v>3400</v>
          </cell>
          <cell r="J292">
            <v>300</v>
          </cell>
          <cell r="K292">
            <v>300</v>
          </cell>
          <cell r="L292"/>
          <cell r="M292">
            <v>500</v>
          </cell>
          <cell r="N292"/>
          <cell r="O292"/>
          <cell r="P292"/>
          <cell r="Q292"/>
          <cell r="R292"/>
          <cell r="S292">
            <v>4500</v>
          </cell>
        </row>
        <row r="293">
          <cell r="B293">
            <v>67</v>
          </cell>
          <cell r="C293" t="str">
            <v>يوليو</v>
          </cell>
          <cell r="D293" t="str">
            <v>كاش</v>
          </cell>
          <cell r="E293" t="str">
            <v>خارج العمل</v>
          </cell>
          <cell r="F293" t="str">
            <v>خارج العمل</v>
          </cell>
          <cell r="G293" t="str">
            <v>شهد السيد السيد البدوي غزي</v>
          </cell>
          <cell r="H293">
            <v>322</v>
          </cell>
          <cell r="I293">
            <v>2500</v>
          </cell>
          <cell r="J293"/>
          <cell r="K293"/>
          <cell r="L293"/>
          <cell r="M293">
            <v>500</v>
          </cell>
          <cell r="N293"/>
          <cell r="O293"/>
          <cell r="P293"/>
          <cell r="Q293"/>
          <cell r="R293"/>
          <cell r="S293">
            <v>3000</v>
          </cell>
        </row>
        <row r="294">
          <cell r="B294">
            <v>2614</v>
          </cell>
          <cell r="C294" t="str">
            <v>أغسطس</v>
          </cell>
          <cell r="D294" t="str">
            <v>فيزا قاهرة</v>
          </cell>
          <cell r="E294" t="str">
            <v>جيوب اركان</v>
          </cell>
          <cell r="F294" t="str">
            <v>خط الظهر 3</v>
          </cell>
          <cell r="G294" t="str">
            <v>كريم عاطف الجرايحي إسماعيل</v>
          </cell>
          <cell r="H294"/>
          <cell r="I294">
            <v>6050</v>
          </cell>
          <cell r="J294">
            <v>300</v>
          </cell>
          <cell r="K294">
            <v>1000</v>
          </cell>
          <cell r="L294">
            <v>150</v>
          </cell>
          <cell r="M294">
            <v>500</v>
          </cell>
          <cell r="N294"/>
          <cell r="O294">
            <v>500</v>
          </cell>
          <cell r="P294"/>
          <cell r="Q294"/>
          <cell r="R294"/>
          <cell r="S294">
            <v>8500</v>
          </cell>
        </row>
        <row r="295">
          <cell r="B295">
            <v>3335</v>
          </cell>
          <cell r="C295" t="str">
            <v>يونيو</v>
          </cell>
          <cell r="D295" t="str">
            <v>كاش</v>
          </cell>
          <cell r="E295" t="str">
            <v>تدريب</v>
          </cell>
          <cell r="F295" t="str">
            <v>خط الفنيش 1</v>
          </cell>
          <cell r="G295" t="str">
            <v>سهام محمود ابراهيم محمد</v>
          </cell>
          <cell r="H295"/>
          <cell r="I295">
            <v>2400</v>
          </cell>
          <cell r="J295">
            <v>300</v>
          </cell>
          <cell r="K295">
            <v>300</v>
          </cell>
          <cell r="L295"/>
          <cell r="M295">
            <v>300</v>
          </cell>
          <cell r="N295"/>
          <cell r="O295"/>
          <cell r="P295"/>
          <cell r="Q295"/>
          <cell r="R295"/>
          <cell r="S295">
            <v>3300</v>
          </cell>
        </row>
        <row r="296">
          <cell r="B296">
            <v>3142</v>
          </cell>
          <cell r="C296" t="str">
            <v>يونيو</v>
          </cell>
          <cell r="D296" t="str">
            <v>فيزا قاهرة</v>
          </cell>
          <cell r="E296" t="str">
            <v>خدمات</v>
          </cell>
          <cell r="F296" t="str">
            <v>خدمات</v>
          </cell>
          <cell r="G296" t="str">
            <v xml:space="preserve"> محمد عبدالغني راغب عبد المجيد</v>
          </cell>
          <cell r="H296"/>
          <cell r="I296">
            <v>3100</v>
          </cell>
          <cell r="J296">
            <v>300</v>
          </cell>
          <cell r="K296">
            <v>300</v>
          </cell>
          <cell r="L296"/>
          <cell r="M296">
            <v>300</v>
          </cell>
          <cell r="N296"/>
          <cell r="O296"/>
          <cell r="P296"/>
          <cell r="Q296"/>
          <cell r="R296"/>
          <cell r="S296">
            <v>4000</v>
          </cell>
        </row>
        <row r="297">
          <cell r="B297">
            <v>2617</v>
          </cell>
          <cell r="C297" t="str">
            <v>ديسمبر</v>
          </cell>
          <cell r="D297" t="str">
            <v>فيزا قاهرة</v>
          </cell>
          <cell r="E297" t="str">
            <v>تجميع صدرين</v>
          </cell>
          <cell r="F297" t="str">
            <v>خط الصدر 1</v>
          </cell>
          <cell r="G297" t="str">
            <v>يوسف مجاهد رشاد سالم</v>
          </cell>
          <cell r="H297"/>
          <cell r="I297">
            <v>4500</v>
          </cell>
          <cell r="J297">
            <v>300</v>
          </cell>
          <cell r="K297">
            <v>1000</v>
          </cell>
          <cell r="L297"/>
          <cell r="M297">
            <v>200</v>
          </cell>
          <cell r="N297"/>
          <cell r="O297">
            <v>500</v>
          </cell>
          <cell r="P297"/>
          <cell r="Q297"/>
          <cell r="R297"/>
          <cell r="S297">
            <v>6500</v>
          </cell>
        </row>
        <row r="298">
          <cell r="B298">
            <v>3183</v>
          </cell>
          <cell r="C298" t="str">
            <v>سبتمبر</v>
          </cell>
          <cell r="D298" t="str">
            <v>كاش</v>
          </cell>
          <cell r="E298" t="str">
            <v>امين مخزن</v>
          </cell>
          <cell r="F298" t="str">
            <v>مخازن</v>
          </cell>
          <cell r="G298" t="str">
            <v>عبدالله خالد حلمي خميس فياض</v>
          </cell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>
            <v>0</v>
          </cell>
        </row>
        <row r="299">
          <cell r="B299">
            <v>2750</v>
          </cell>
          <cell r="C299" t="str">
            <v>ديسمبر</v>
          </cell>
          <cell r="D299" t="str">
            <v>فيزا قاهرة</v>
          </cell>
          <cell r="E299" t="str">
            <v>بنسة ظهر</v>
          </cell>
          <cell r="F299" t="str">
            <v>خط الظهر 1</v>
          </cell>
          <cell r="G299" t="str">
            <v>عائشة عطا محمد الداودي</v>
          </cell>
          <cell r="H299"/>
          <cell r="I299">
            <v>4200</v>
          </cell>
          <cell r="J299">
            <v>300</v>
          </cell>
          <cell r="K299">
            <v>1000</v>
          </cell>
          <cell r="L299"/>
          <cell r="M299">
            <v>500</v>
          </cell>
          <cell r="N299"/>
          <cell r="O299"/>
          <cell r="P299"/>
          <cell r="Q299"/>
          <cell r="R299"/>
          <cell r="S299">
            <v>6000</v>
          </cell>
        </row>
        <row r="300">
          <cell r="B300">
            <v>3301</v>
          </cell>
          <cell r="C300" t="str">
            <v>لا يوجد</v>
          </cell>
          <cell r="D300" t="str">
            <v>كاش</v>
          </cell>
          <cell r="E300" t="str">
            <v>شريط لوكسات</v>
          </cell>
          <cell r="F300" t="str">
            <v>عراوي</v>
          </cell>
          <cell r="G300" t="str">
            <v>ياسين اشرف فهمي السيد بدير</v>
          </cell>
          <cell r="H300"/>
          <cell r="I300">
            <v>2100</v>
          </cell>
          <cell r="J300">
            <v>300</v>
          </cell>
          <cell r="K300">
            <v>300</v>
          </cell>
          <cell r="L300"/>
          <cell r="M300">
            <v>300</v>
          </cell>
          <cell r="N300"/>
          <cell r="O300"/>
          <cell r="P300"/>
          <cell r="Q300"/>
          <cell r="R300"/>
          <cell r="S300">
            <v>3000</v>
          </cell>
        </row>
        <row r="301">
          <cell r="B301">
            <v>3566</v>
          </cell>
          <cell r="C301" t="str">
            <v>لا يوجد</v>
          </cell>
          <cell r="D301" t="str">
            <v>كاش</v>
          </cell>
          <cell r="E301" t="str">
            <v>دعامة</v>
          </cell>
          <cell r="F301" t="str">
            <v>خط الظهر 3</v>
          </cell>
          <cell r="G301" t="str">
            <v>كريمان حمزة حامد محمد هندام</v>
          </cell>
          <cell r="H301"/>
          <cell r="I301">
            <v>3600</v>
          </cell>
          <cell r="J301">
            <v>300</v>
          </cell>
          <cell r="K301">
            <v>300</v>
          </cell>
          <cell r="L301"/>
          <cell r="M301">
            <v>300</v>
          </cell>
          <cell r="N301"/>
          <cell r="O301"/>
          <cell r="P301"/>
          <cell r="Q301"/>
          <cell r="R301"/>
          <cell r="S301">
            <v>4500</v>
          </cell>
        </row>
        <row r="302">
          <cell r="B302">
            <v>2696</v>
          </cell>
          <cell r="C302" t="str">
            <v>ديسمبر</v>
          </cell>
          <cell r="D302" t="str">
            <v>فيزا قاهرة</v>
          </cell>
          <cell r="E302" t="str">
            <v>بييه</v>
          </cell>
          <cell r="F302" t="str">
            <v>خط الظهر 3</v>
          </cell>
          <cell r="G302" t="str">
            <v>يوسف احمد محمد بدير</v>
          </cell>
          <cell r="H302">
            <v>2700</v>
          </cell>
          <cell r="I302">
            <v>4600</v>
          </cell>
          <cell r="J302">
            <v>300</v>
          </cell>
          <cell r="K302">
            <v>800</v>
          </cell>
          <cell r="L302"/>
          <cell r="M302">
            <v>300</v>
          </cell>
          <cell r="N302"/>
          <cell r="O302">
            <v>500</v>
          </cell>
          <cell r="P302"/>
          <cell r="Q302"/>
          <cell r="R302"/>
          <cell r="S302">
            <v>6500</v>
          </cell>
        </row>
        <row r="303">
          <cell r="B303">
            <v>2178</v>
          </cell>
          <cell r="C303" t="str">
            <v>يونيو</v>
          </cell>
          <cell r="D303" t="str">
            <v>فيزا اهلي</v>
          </cell>
          <cell r="E303" t="str">
            <v>جيب ضهر</v>
          </cell>
          <cell r="F303" t="str">
            <v>المكواه</v>
          </cell>
          <cell r="G303" t="str">
            <v>احمد محمد احمد عرفات</v>
          </cell>
          <cell r="H303"/>
          <cell r="I303">
            <v>5150</v>
          </cell>
          <cell r="J303">
            <v>300</v>
          </cell>
          <cell r="K303">
            <v>700</v>
          </cell>
          <cell r="L303">
            <v>150</v>
          </cell>
          <cell r="M303">
            <v>200</v>
          </cell>
          <cell r="N303"/>
          <cell r="O303">
            <v>500</v>
          </cell>
          <cell r="P303"/>
          <cell r="Q303"/>
          <cell r="R303"/>
          <cell r="S303">
            <v>7000</v>
          </cell>
        </row>
        <row r="304">
          <cell r="B304">
            <v>69</v>
          </cell>
          <cell r="C304" t="str">
            <v>سبتمبر</v>
          </cell>
          <cell r="D304" t="str">
            <v>كاش</v>
          </cell>
          <cell r="E304" t="str">
            <v>خارج العمل</v>
          </cell>
          <cell r="F304" t="str">
            <v>خارج العمل</v>
          </cell>
          <cell r="G304" t="str">
            <v>هند احمد اسماعيل حسن</v>
          </cell>
          <cell r="H304">
            <v>322</v>
          </cell>
          <cell r="I304">
            <v>2500</v>
          </cell>
          <cell r="J304"/>
          <cell r="K304">
            <v>1000</v>
          </cell>
          <cell r="L304"/>
          <cell r="M304"/>
          <cell r="N304"/>
          <cell r="O304"/>
          <cell r="P304"/>
          <cell r="Q304"/>
          <cell r="R304"/>
          <cell r="S304">
            <v>3500</v>
          </cell>
        </row>
        <row r="305">
          <cell r="B305">
            <v>3067</v>
          </cell>
          <cell r="C305" t="str">
            <v>أبريل</v>
          </cell>
          <cell r="D305" t="str">
            <v>فيزا اهلي</v>
          </cell>
          <cell r="E305" t="str">
            <v>لازق كمر</v>
          </cell>
          <cell r="F305" t="str">
            <v>المكواه</v>
          </cell>
          <cell r="G305" t="str">
            <v>فارس محمد احمد ابو المعاطي</v>
          </cell>
          <cell r="H305"/>
          <cell r="I305">
            <v>4100</v>
          </cell>
          <cell r="J305">
            <v>300</v>
          </cell>
          <cell r="K305">
            <v>800</v>
          </cell>
          <cell r="L305"/>
          <cell r="M305">
            <v>300</v>
          </cell>
          <cell r="N305"/>
          <cell r="O305"/>
          <cell r="P305"/>
          <cell r="Q305"/>
          <cell r="R305"/>
          <cell r="S305">
            <v>5500</v>
          </cell>
        </row>
        <row r="306">
          <cell r="B306">
            <v>3339</v>
          </cell>
          <cell r="C306" t="str">
            <v>ديسمبر</v>
          </cell>
          <cell r="D306" t="str">
            <v>كاش</v>
          </cell>
          <cell r="E306" t="str">
            <v>تجميع</v>
          </cell>
          <cell r="F306" t="str">
            <v>القص</v>
          </cell>
          <cell r="G306" t="str">
            <v>علي عبده ابراهيم التابعي</v>
          </cell>
          <cell r="H306"/>
          <cell r="I306">
            <v>3900</v>
          </cell>
          <cell r="J306">
            <v>300</v>
          </cell>
          <cell r="K306">
            <v>800</v>
          </cell>
          <cell r="L306"/>
          <cell r="M306">
            <v>500</v>
          </cell>
          <cell r="N306"/>
          <cell r="O306"/>
          <cell r="P306"/>
          <cell r="Q306"/>
          <cell r="R306"/>
          <cell r="S306">
            <v>5500</v>
          </cell>
        </row>
        <row r="307">
          <cell r="B307">
            <v>3523</v>
          </cell>
          <cell r="C307" t="str">
            <v>لا يوجد</v>
          </cell>
          <cell r="D307" t="str">
            <v>كاش</v>
          </cell>
          <cell r="E307" t="str">
            <v>اوفر</v>
          </cell>
          <cell r="F307" t="str">
            <v>خط الظهر 2</v>
          </cell>
          <cell r="G307" t="str">
            <v>سلمى محمد عزت الطنطاوي غانم</v>
          </cell>
          <cell r="H307"/>
          <cell r="I307">
            <v>3600</v>
          </cell>
          <cell r="J307">
            <v>300</v>
          </cell>
          <cell r="K307">
            <v>300</v>
          </cell>
          <cell r="L307"/>
          <cell r="M307">
            <v>300</v>
          </cell>
          <cell r="N307"/>
          <cell r="O307"/>
          <cell r="P307"/>
          <cell r="Q307"/>
          <cell r="R307"/>
          <cell r="S307">
            <v>4500</v>
          </cell>
        </row>
        <row r="308">
          <cell r="B308">
            <v>2261</v>
          </cell>
          <cell r="C308" t="str">
            <v>اغسطس</v>
          </cell>
          <cell r="D308" t="str">
            <v>فيزا قاهرة</v>
          </cell>
          <cell r="E308" t="str">
            <v>كرتش</v>
          </cell>
          <cell r="F308" t="str">
            <v>خط الفنيش 2</v>
          </cell>
          <cell r="G308" t="str">
            <v>احمد احمد محمد سليمان</v>
          </cell>
          <cell r="H308"/>
          <cell r="I308">
            <v>4850</v>
          </cell>
          <cell r="J308">
            <v>300</v>
          </cell>
          <cell r="K308">
            <v>500</v>
          </cell>
          <cell r="L308">
            <v>150</v>
          </cell>
          <cell r="M308">
            <v>700</v>
          </cell>
          <cell r="N308"/>
          <cell r="O308"/>
          <cell r="P308"/>
          <cell r="Q308"/>
          <cell r="R308"/>
          <cell r="S308">
            <v>6500</v>
          </cell>
        </row>
        <row r="309">
          <cell r="B309">
            <v>3215</v>
          </cell>
          <cell r="C309" t="str">
            <v>يوليو</v>
          </cell>
          <cell r="D309" t="str">
            <v>فيزا قاهرة</v>
          </cell>
          <cell r="E309" t="str">
            <v>تركيب تكت</v>
          </cell>
          <cell r="F309" t="str">
            <v>التجهيز</v>
          </cell>
          <cell r="G309" t="str">
            <v>شريهان محمد ابو العينين السيد</v>
          </cell>
          <cell r="H309"/>
          <cell r="I309">
            <v>3400</v>
          </cell>
          <cell r="J309">
            <v>300</v>
          </cell>
          <cell r="K309">
            <v>300</v>
          </cell>
          <cell r="L309"/>
          <cell r="M309">
            <v>300</v>
          </cell>
          <cell r="N309"/>
          <cell r="O309"/>
          <cell r="P309"/>
          <cell r="Q309"/>
          <cell r="R309"/>
          <cell r="S309">
            <v>4300</v>
          </cell>
        </row>
        <row r="310">
          <cell r="B310">
            <v>3588</v>
          </cell>
          <cell r="C310" t="str">
            <v>لا يوجد</v>
          </cell>
          <cell r="D310" t="str">
            <v>كاش</v>
          </cell>
          <cell r="E310" t="str">
            <v>تدريب</v>
          </cell>
          <cell r="F310" t="str">
            <v>خط الظهر 2</v>
          </cell>
          <cell r="G310" t="str">
            <v>منة الله عادل محمد خليل</v>
          </cell>
          <cell r="H310"/>
          <cell r="I310">
            <v>3600</v>
          </cell>
          <cell r="J310">
            <v>300</v>
          </cell>
          <cell r="K310">
            <v>300</v>
          </cell>
          <cell r="L310"/>
          <cell r="M310">
            <v>300</v>
          </cell>
          <cell r="N310"/>
          <cell r="O310"/>
          <cell r="P310"/>
          <cell r="Q310"/>
          <cell r="R310"/>
          <cell r="S310">
            <v>4500</v>
          </cell>
        </row>
        <row r="311">
          <cell r="B311">
            <v>3525</v>
          </cell>
          <cell r="C311" t="str">
            <v>لا يوجد</v>
          </cell>
          <cell r="D311" t="str">
            <v>كاش</v>
          </cell>
          <cell r="E311" t="str">
            <v>خياطة</v>
          </cell>
          <cell r="F311" t="str">
            <v>عراوي</v>
          </cell>
          <cell r="G311" t="str">
            <v>ياسمين محمد الاباصيري سليم</v>
          </cell>
          <cell r="H311"/>
          <cell r="I311">
            <v>3600</v>
          </cell>
          <cell r="J311">
            <v>300</v>
          </cell>
          <cell r="K311">
            <v>300</v>
          </cell>
          <cell r="L311"/>
          <cell r="M311">
            <v>300</v>
          </cell>
          <cell r="N311"/>
          <cell r="O311"/>
          <cell r="P311"/>
          <cell r="Q311"/>
          <cell r="R311"/>
          <cell r="S311">
            <v>4500</v>
          </cell>
        </row>
        <row r="312">
          <cell r="B312">
            <v>2646</v>
          </cell>
          <cell r="C312" t="str">
            <v>سبتمبر</v>
          </cell>
          <cell r="D312" t="str">
            <v>فيزا اهلي</v>
          </cell>
          <cell r="E312" t="str">
            <v>لوكسات</v>
          </cell>
          <cell r="F312" t="str">
            <v>عراوي</v>
          </cell>
          <cell r="G312" t="str">
            <v>محمد احمد عبدالحليم</v>
          </cell>
          <cell r="H312"/>
          <cell r="I312">
            <v>3800</v>
          </cell>
          <cell r="J312">
            <v>300</v>
          </cell>
          <cell r="K312">
            <v>200</v>
          </cell>
          <cell r="L312"/>
          <cell r="M312">
            <v>200</v>
          </cell>
          <cell r="N312"/>
          <cell r="O312">
            <v>500</v>
          </cell>
          <cell r="P312"/>
          <cell r="Q312"/>
          <cell r="R312"/>
          <cell r="S312">
            <v>5000</v>
          </cell>
        </row>
        <row r="313">
          <cell r="B313">
            <v>0</v>
          </cell>
          <cell r="C313" t="str">
            <v>لا يوجد</v>
          </cell>
          <cell r="D313" t="str">
            <v>كاش</v>
          </cell>
          <cell r="E313">
            <v>0</v>
          </cell>
          <cell r="F313">
            <v>0</v>
          </cell>
          <cell r="G313">
            <v>0</v>
          </cell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>
            <v>0</v>
          </cell>
        </row>
        <row r="314">
          <cell r="B314">
            <v>3590</v>
          </cell>
          <cell r="C314" t="str">
            <v>لا يوجد</v>
          </cell>
          <cell r="D314" t="str">
            <v>كاش</v>
          </cell>
          <cell r="E314" t="str">
            <v>لوكسات دابل</v>
          </cell>
          <cell r="F314" t="str">
            <v>عراوي</v>
          </cell>
          <cell r="G314" t="str">
            <v>عبد الرحمن السعيد المرسي شطا</v>
          </cell>
          <cell r="H314"/>
          <cell r="I314">
            <v>5000</v>
          </cell>
          <cell r="J314">
            <v>300</v>
          </cell>
          <cell r="K314">
            <v>500</v>
          </cell>
          <cell r="L314"/>
          <cell r="M314">
            <v>1000</v>
          </cell>
          <cell r="N314"/>
          <cell r="O314">
            <v>500</v>
          </cell>
          <cell r="P314"/>
          <cell r="Q314"/>
          <cell r="R314"/>
          <cell r="S314">
            <v>7300</v>
          </cell>
        </row>
        <row r="315">
          <cell r="B315">
            <v>2260</v>
          </cell>
          <cell r="C315" t="str">
            <v>ديسمبر</v>
          </cell>
          <cell r="D315" t="str">
            <v>فيزا قاهرة</v>
          </cell>
          <cell r="E315" t="str">
            <v>كرتش</v>
          </cell>
          <cell r="F315" t="str">
            <v>خط الصدر 3</v>
          </cell>
          <cell r="G315" t="str">
            <v>إبراهيم عبده خطاب</v>
          </cell>
          <cell r="H315"/>
          <cell r="I315">
            <v>4450</v>
          </cell>
          <cell r="J315">
            <v>300</v>
          </cell>
          <cell r="K315">
            <v>1000</v>
          </cell>
          <cell r="L315">
            <v>150</v>
          </cell>
          <cell r="M315">
            <v>300</v>
          </cell>
          <cell r="N315"/>
          <cell r="O315">
            <v>500</v>
          </cell>
          <cell r="P315"/>
          <cell r="Q315"/>
          <cell r="R315"/>
          <cell r="S315">
            <v>6700</v>
          </cell>
        </row>
        <row r="316">
          <cell r="B316">
            <v>0</v>
          </cell>
          <cell r="C316" t="str">
            <v>لا يوجد</v>
          </cell>
          <cell r="D316" t="str">
            <v>كاش</v>
          </cell>
          <cell r="E316">
            <v>0</v>
          </cell>
          <cell r="F316">
            <v>0</v>
          </cell>
          <cell r="G316">
            <v>0</v>
          </cell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>
            <v>0</v>
          </cell>
        </row>
        <row r="317">
          <cell r="B317">
            <v>2624</v>
          </cell>
          <cell r="C317" t="str">
            <v>يونيو</v>
          </cell>
          <cell r="D317" t="str">
            <v>فيزا قاهرة</v>
          </cell>
          <cell r="E317" t="str">
            <v>مساعدة</v>
          </cell>
          <cell r="F317" t="str">
            <v>خط الظهر 1</v>
          </cell>
          <cell r="G317" t="str">
            <v>ميادة فريد عوض فرح</v>
          </cell>
          <cell r="H317"/>
          <cell r="I317">
            <v>2600</v>
          </cell>
          <cell r="J317">
            <v>300</v>
          </cell>
          <cell r="K317">
            <v>200</v>
          </cell>
          <cell r="L317"/>
          <cell r="M317">
            <v>200</v>
          </cell>
          <cell r="N317"/>
          <cell r="O317">
            <v>500</v>
          </cell>
          <cell r="P317"/>
          <cell r="Q317"/>
          <cell r="R317"/>
          <cell r="S317">
            <v>3800</v>
          </cell>
        </row>
        <row r="318">
          <cell r="B318">
            <v>2647</v>
          </cell>
          <cell r="C318" t="str">
            <v>يونيو</v>
          </cell>
          <cell r="D318" t="str">
            <v>كاش</v>
          </cell>
          <cell r="E318" t="str">
            <v>خياط</v>
          </cell>
          <cell r="F318" t="str">
            <v>خط الصدر 2</v>
          </cell>
          <cell r="G318" t="str">
            <v>محمد السيد حامد محمد</v>
          </cell>
          <cell r="H318"/>
          <cell r="I318">
            <v>4000</v>
          </cell>
          <cell r="J318">
            <v>300</v>
          </cell>
          <cell r="K318">
            <v>300</v>
          </cell>
          <cell r="L318"/>
          <cell r="M318">
            <v>200</v>
          </cell>
          <cell r="N318"/>
          <cell r="O318">
            <v>500</v>
          </cell>
          <cell r="P318"/>
          <cell r="Q318"/>
          <cell r="R318"/>
          <cell r="S318">
            <v>5300</v>
          </cell>
        </row>
        <row r="319">
          <cell r="B319">
            <v>0</v>
          </cell>
          <cell r="C319" t="str">
            <v>لا يوجد</v>
          </cell>
          <cell r="D319" t="str">
            <v>كاش</v>
          </cell>
          <cell r="E319">
            <v>0</v>
          </cell>
          <cell r="F319">
            <v>0</v>
          </cell>
          <cell r="G319">
            <v>0</v>
          </cell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>
            <v>0</v>
          </cell>
        </row>
        <row r="320">
          <cell r="B320">
            <v>3528</v>
          </cell>
          <cell r="C320" t="str">
            <v>لا يوجد</v>
          </cell>
          <cell r="D320" t="str">
            <v>كاش</v>
          </cell>
          <cell r="E320" t="str">
            <v>مساعد</v>
          </cell>
          <cell r="F320" t="str">
            <v>خط الفنيش 2</v>
          </cell>
          <cell r="G320" t="str">
            <v>السيد السيد ابراهيم حسن شلاطة</v>
          </cell>
          <cell r="H320"/>
          <cell r="I320">
            <v>3100</v>
          </cell>
          <cell r="J320">
            <v>300</v>
          </cell>
          <cell r="K320">
            <v>300</v>
          </cell>
          <cell r="L320"/>
          <cell r="M320">
            <v>300</v>
          </cell>
          <cell r="N320"/>
          <cell r="O320"/>
          <cell r="P320"/>
          <cell r="Q320"/>
          <cell r="R320"/>
          <cell r="S320">
            <v>4000</v>
          </cell>
        </row>
        <row r="321">
          <cell r="B321">
            <v>1023</v>
          </cell>
          <cell r="C321" t="str">
            <v>لا يوجد</v>
          </cell>
          <cell r="D321" t="str">
            <v>كاش</v>
          </cell>
          <cell r="E321" t="str">
            <v>اشراف جودة</v>
          </cell>
          <cell r="F321" t="str">
            <v>الجودة</v>
          </cell>
          <cell r="G321" t="str">
            <v>رشا احمد محمد محمود عبد الله</v>
          </cell>
          <cell r="H321"/>
          <cell r="I321">
            <v>6200</v>
          </cell>
          <cell r="J321">
            <v>300</v>
          </cell>
          <cell r="K321">
            <v>500</v>
          </cell>
          <cell r="L321"/>
          <cell r="M321">
            <v>500</v>
          </cell>
          <cell r="N321"/>
          <cell r="O321">
            <v>500</v>
          </cell>
          <cell r="P321"/>
          <cell r="Q321"/>
          <cell r="R321"/>
          <cell r="S321">
            <v>8000</v>
          </cell>
        </row>
        <row r="322">
          <cell r="B322">
            <v>3065</v>
          </cell>
          <cell r="C322" t="str">
            <v>يونيو</v>
          </cell>
          <cell r="D322" t="str">
            <v>فيزا اهلي</v>
          </cell>
          <cell r="E322" t="str">
            <v xml:space="preserve">تشطيب </v>
          </cell>
          <cell r="F322" t="str">
            <v>التشطيب</v>
          </cell>
          <cell r="G322" t="str">
            <v>ياسمين السيد السيد الجعيدي</v>
          </cell>
          <cell r="H322"/>
          <cell r="I322">
            <v>3100</v>
          </cell>
          <cell r="J322">
            <v>300</v>
          </cell>
          <cell r="K322">
            <v>300</v>
          </cell>
          <cell r="L322"/>
          <cell r="M322">
            <v>300</v>
          </cell>
          <cell r="N322"/>
          <cell r="O322"/>
          <cell r="P322"/>
          <cell r="Q322"/>
          <cell r="R322"/>
          <cell r="S322">
            <v>4000</v>
          </cell>
        </row>
        <row r="323">
          <cell r="B323">
            <v>3529</v>
          </cell>
          <cell r="C323" t="str">
            <v>لا يوجد</v>
          </cell>
          <cell r="D323" t="str">
            <v>كاش</v>
          </cell>
          <cell r="E323" t="str">
            <v>تجميع + قص عينات</v>
          </cell>
          <cell r="F323" t="str">
            <v>القص</v>
          </cell>
          <cell r="G323" t="str">
            <v>يوسف ابراهيم محمد ابراهيم عبدالله</v>
          </cell>
          <cell r="H323"/>
          <cell r="I323">
            <v>4700</v>
          </cell>
          <cell r="J323">
            <v>300</v>
          </cell>
          <cell r="K323">
            <v>500</v>
          </cell>
          <cell r="L323">
            <v>150</v>
          </cell>
          <cell r="M323">
            <v>500</v>
          </cell>
          <cell r="N323"/>
          <cell r="O323"/>
          <cell r="P323"/>
          <cell r="Q323"/>
          <cell r="R323"/>
          <cell r="S323">
            <v>6150</v>
          </cell>
        </row>
        <row r="324">
          <cell r="B324">
            <v>3591</v>
          </cell>
          <cell r="C324" t="str">
            <v>لا يوجد</v>
          </cell>
          <cell r="D324" t="str">
            <v>كاش</v>
          </cell>
          <cell r="E324" t="str">
            <v>مساعد مخزن</v>
          </cell>
          <cell r="F324" t="str">
            <v>مخازن</v>
          </cell>
          <cell r="G324" t="str">
            <v>رضا السيد السيد علي عبدالواحد</v>
          </cell>
          <cell r="H324"/>
          <cell r="I324">
            <v>4700</v>
          </cell>
          <cell r="J324">
            <v>300</v>
          </cell>
          <cell r="K324">
            <v>500</v>
          </cell>
          <cell r="L324"/>
          <cell r="M324">
            <v>500</v>
          </cell>
          <cell r="N324"/>
          <cell r="O324"/>
          <cell r="P324"/>
          <cell r="Q324"/>
          <cell r="R324"/>
          <cell r="S324">
            <v>6000</v>
          </cell>
        </row>
        <row r="325">
          <cell r="B325">
            <v>3218</v>
          </cell>
          <cell r="C325" t="str">
            <v>يونيو</v>
          </cell>
          <cell r="D325" t="str">
            <v>فيزا اهلي</v>
          </cell>
          <cell r="E325" t="str">
            <v>شريط لوكسات</v>
          </cell>
          <cell r="F325" t="str">
            <v>عراوي</v>
          </cell>
          <cell r="G325" t="str">
            <v>عبد الرحمن عبدالواحد محمد جمعة</v>
          </cell>
          <cell r="H325"/>
          <cell r="I325">
            <v>2600</v>
          </cell>
          <cell r="J325">
            <v>300</v>
          </cell>
          <cell r="K325">
            <v>300</v>
          </cell>
          <cell r="L325"/>
          <cell r="M325">
            <v>300</v>
          </cell>
          <cell r="N325"/>
          <cell r="O325"/>
          <cell r="P325"/>
          <cell r="Q325"/>
          <cell r="R325"/>
          <cell r="S325">
            <v>3500</v>
          </cell>
        </row>
        <row r="326">
          <cell r="B326">
            <v>3340</v>
          </cell>
          <cell r="C326" t="str">
            <v>ديسمبر</v>
          </cell>
          <cell r="D326" t="str">
            <v>فيزا قاهرة</v>
          </cell>
          <cell r="E326" t="str">
            <v>الصيانة</v>
          </cell>
          <cell r="F326" t="str">
            <v>الصيانة</v>
          </cell>
          <cell r="G326" t="str">
            <v>محمد حسن ابراهيم شلاطة</v>
          </cell>
          <cell r="H326"/>
          <cell r="I326">
            <v>10700</v>
          </cell>
          <cell r="J326">
            <v>300</v>
          </cell>
          <cell r="K326"/>
          <cell r="L326"/>
          <cell r="M326">
            <v>2000</v>
          </cell>
          <cell r="N326"/>
          <cell r="O326">
            <v>2000</v>
          </cell>
          <cell r="P326"/>
          <cell r="Q326"/>
          <cell r="R326"/>
          <cell r="S326">
            <v>15000</v>
          </cell>
        </row>
        <row r="327">
          <cell r="B327">
            <v>2016</v>
          </cell>
          <cell r="C327" t="str">
            <v>يونيو</v>
          </cell>
          <cell r="D327" t="str">
            <v>فيزا قاهرة</v>
          </cell>
          <cell r="E327" t="str">
            <v>جوكر</v>
          </cell>
          <cell r="F327" t="str">
            <v>خط 4</v>
          </cell>
          <cell r="G327" t="str">
            <v>محمد ايمن محمد سلام</v>
          </cell>
          <cell r="H327"/>
          <cell r="I327">
            <v>7700</v>
          </cell>
          <cell r="J327">
            <v>300</v>
          </cell>
          <cell r="K327">
            <v>1000</v>
          </cell>
          <cell r="L327"/>
          <cell r="M327">
            <v>1500</v>
          </cell>
          <cell r="N327"/>
          <cell r="O327">
            <v>500</v>
          </cell>
          <cell r="P327"/>
          <cell r="Q327"/>
          <cell r="R327"/>
          <cell r="S327">
            <v>11000</v>
          </cell>
        </row>
        <row r="328">
          <cell r="B328">
            <v>3531</v>
          </cell>
          <cell r="C328" t="str">
            <v>لا يوجد</v>
          </cell>
          <cell r="D328" t="str">
            <v>كاش</v>
          </cell>
          <cell r="E328" t="str">
            <v>ترقيم</v>
          </cell>
          <cell r="F328" t="str">
            <v>القص</v>
          </cell>
          <cell r="G328" t="str">
            <v>احمد صالح محمد ابراهيم احمد</v>
          </cell>
          <cell r="H328"/>
          <cell r="I328">
            <v>4600</v>
          </cell>
          <cell r="J328">
            <v>300</v>
          </cell>
          <cell r="K328">
            <v>300</v>
          </cell>
          <cell r="L328">
            <v>150</v>
          </cell>
          <cell r="M328">
            <v>300</v>
          </cell>
          <cell r="N328"/>
          <cell r="O328"/>
          <cell r="P328"/>
          <cell r="Q328"/>
          <cell r="R328"/>
          <cell r="S328">
            <v>5650</v>
          </cell>
        </row>
        <row r="329">
          <cell r="B329">
            <v>0</v>
          </cell>
          <cell r="C329" t="str">
            <v>لا يوجد</v>
          </cell>
          <cell r="D329" t="str">
            <v>كاش</v>
          </cell>
          <cell r="E329">
            <v>0</v>
          </cell>
          <cell r="F329">
            <v>0</v>
          </cell>
          <cell r="G329">
            <v>0</v>
          </cell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>
            <v>0</v>
          </cell>
        </row>
        <row r="330">
          <cell r="B330">
            <v>2379</v>
          </cell>
          <cell r="C330" t="str">
            <v>سبتمبر</v>
          </cell>
          <cell r="D330" t="str">
            <v>فيزا قاهرة</v>
          </cell>
          <cell r="E330" t="str">
            <v>ثني رجل</v>
          </cell>
          <cell r="F330" t="str">
            <v>خط الصدر 1</v>
          </cell>
          <cell r="G330" t="str">
            <v>محمد محمود عباس شطا</v>
          </cell>
          <cell r="H330"/>
          <cell r="I330">
            <v>4100</v>
          </cell>
          <cell r="J330">
            <v>300</v>
          </cell>
          <cell r="K330">
            <v>800</v>
          </cell>
          <cell r="L330"/>
          <cell r="M330">
            <v>300</v>
          </cell>
          <cell r="N330"/>
          <cell r="O330">
            <v>500</v>
          </cell>
          <cell r="P330"/>
          <cell r="Q330"/>
          <cell r="R330"/>
          <cell r="S330">
            <v>6000</v>
          </cell>
        </row>
        <row r="331">
          <cell r="B331">
            <v>3438</v>
          </cell>
          <cell r="C331" t="str">
            <v>لا يوجد</v>
          </cell>
          <cell r="D331" t="str">
            <v>فيزا قاهرة</v>
          </cell>
          <cell r="E331" t="str">
            <v>جودة نهائي</v>
          </cell>
          <cell r="F331" t="str">
            <v>نهائي</v>
          </cell>
          <cell r="G331" t="str">
            <v>اسماء السيد سمير احمد يوسف</v>
          </cell>
          <cell r="H331"/>
          <cell r="I331">
            <v>3600</v>
          </cell>
          <cell r="J331">
            <v>300</v>
          </cell>
          <cell r="K331">
            <v>300</v>
          </cell>
          <cell r="L331"/>
          <cell r="M331">
            <v>300</v>
          </cell>
          <cell r="N331"/>
          <cell r="O331"/>
          <cell r="P331"/>
          <cell r="Q331"/>
          <cell r="R331"/>
          <cell r="S331">
            <v>4500</v>
          </cell>
        </row>
        <row r="332">
          <cell r="B332">
            <v>3342</v>
          </cell>
          <cell r="C332" t="str">
            <v>يوليو</v>
          </cell>
          <cell r="D332" t="str">
            <v>فيزا قاهرة</v>
          </cell>
          <cell r="E332" t="str">
            <v>القص</v>
          </cell>
          <cell r="F332" t="str">
            <v>الجودة</v>
          </cell>
          <cell r="G332" t="str">
            <v>امل الخضري الاباصيري السحراوي</v>
          </cell>
          <cell r="H332"/>
          <cell r="I332">
            <v>3600</v>
          </cell>
          <cell r="J332">
            <v>300</v>
          </cell>
          <cell r="K332">
            <v>300</v>
          </cell>
          <cell r="L332"/>
          <cell r="M332">
            <v>300</v>
          </cell>
          <cell r="N332"/>
          <cell r="O332"/>
          <cell r="P332"/>
          <cell r="Q332"/>
          <cell r="R332"/>
          <cell r="S332">
            <v>4500</v>
          </cell>
        </row>
        <row r="333">
          <cell r="B333">
            <v>3533</v>
          </cell>
          <cell r="C333" t="str">
            <v>لا يوجد</v>
          </cell>
          <cell r="D333" t="str">
            <v>كاش</v>
          </cell>
          <cell r="E333" t="str">
            <v xml:space="preserve">فرد </v>
          </cell>
          <cell r="F333" t="str">
            <v>القص</v>
          </cell>
          <cell r="G333" t="str">
            <v>عمر محمد العربي السيد عبده</v>
          </cell>
          <cell r="H333"/>
          <cell r="I333">
            <v>4100</v>
          </cell>
          <cell r="J333">
            <v>300</v>
          </cell>
          <cell r="K333">
            <v>300</v>
          </cell>
          <cell r="L333"/>
          <cell r="M333">
            <v>300</v>
          </cell>
          <cell r="N333"/>
          <cell r="O333"/>
          <cell r="P333"/>
          <cell r="Q333"/>
          <cell r="R333"/>
          <cell r="S333">
            <v>5000</v>
          </cell>
        </row>
        <row r="334">
          <cell r="B334">
            <v>2672</v>
          </cell>
          <cell r="C334" t="str">
            <v>يونيو</v>
          </cell>
          <cell r="D334" t="str">
            <v>كاش</v>
          </cell>
          <cell r="E334" t="str">
            <v>علامة شق</v>
          </cell>
          <cell r="F334" t="str">
            <v>خط الظهر 1</v>
          </cell>
          <cell r="G334" t="str">
            <v>منه محمد حلمي محمد الشاذلي</v>
          </cell>
          <cell r="H334"/>
          <cell r="I334">
            <v>1800</v>
          </cell>
          <cell r="J334">
            <v>300</v>
          </cell>
          <cell r="K334">
            <v>700</v>
          </cell>
          <cell r="L334"/>
          <cell r="M334">
            <v>200</v>
          </cell>
          <cell r="N334"/>
          <cell r="O334">
            <v>500</v>
          </cell>
          <cell r="P334"/>
          <cell r="Q334"/>
          <cell r="R334"/>
          <cell r="S334">
            <v>3500</v>
          </cell>
        </row>
        <row r="335">
          <cell r="B335">
            <v>3437</v>
          </cell>
          <cell r="C335" t="str">
            <v>لا يوجد</v>
          </cell>
          <cell r="D335" t="str">
            <v>فيزا قاهرة</v>
          </cell>
          <cell r="E335" t="str">
            <v>جودة نهائي</v>
          </cell>
          <cell r="F335" t="str">
            <v>نهائي</v>
          </cell>
          <cell r="G335" t="str">
            <v>بسملة نور محمد نجيب العزبي</v>
          </cell>
          <cell r="H335"/>
          <cell r="I335">
            <v>3100</v>
          </cell>
          <cell r="J335">
            <v>300</v>
          </cell>
          <cell r="K335">
            <v>300</v>
          </cell>
          <cell r="L335"/>
          <cell r="M335">
            <v>300</v>
          </cell>
          <cell r="N335"/>
          <cell r="O335"/>
          <cell r="P335"/>
          <cell r="Q335"/>
          <cell r="R335"/>
          <cell r="S335">
            <v>4000</v>
          </cell>
        </row>
        <row r="336">
          <cell r="B336">
            <v>3534</v>
          </cell>
          <cell r="C336" t="str">
            <v>لا يوجد</v>
          </cell>
          <cell r="D336" t="str">
            <v>كاش</v>
          </cell>
          <cell r="E336" t="str">
            <v>ترقيم</v>
          </cell>
          <cell r="F336" t="str">
            <v>القص</v>
          </cell>
          <cell r="G336" t="str">
            <v>محمود طارق حسن محمد العزبي</v>
          </cell>
          <cell r="H336"/>
          <cell r="I336">
            <v>4100</v>
          </cell>
          <cell r="J336">
            <v>300</v>
          </cell>
          <cell r="K336">
            <v>300</v>
          </cell>
          <cell r="L336"/>
          <cell r="M336">
            <v>300</v>
          </cell>
          <cell r="N336"/>
          <cell r="O336"/>
          <cell r="P336"/>
          <cell r="Q336"/>
          <cell r="R336"/>
          <cell r="S336">
            <v>5000</v>
          </cell>
        </row>
        <row r="337">
          <cell r="B337">
            <v>0</v>
          </cell>
          <cell r="C337" t="str">
            <v>لا يوجد</v>
          </cell>
          <cell r="D337" t="str">
            <v>كاش</v>
          </cell>
          <cell r="E337">
            <v>0</v>
          </cell>
          <cell r="F337">
            <v>0</v>
          </cell>
          <cell r="G337">
            <v>0</v>
          </cell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>
            <v>0</v>
          </cell>
        </row>
        <row r="338">
          <cell r="B338">
            <v>2749</v>
          </cell>
          <cell r="C338" t="str">
            <v>ديسمبر</v>
          </cell>
          <cell r="D338" t="str">
            <v>كاش</v>
          </cell>
          <cell r="E338" t="str">
            <v>تشييم رايزر وسنتر</v>
          </cell>
          <cell r="F338" t="str">
            <v>خط الظهر 3</v>
          </cell>
          <cell r="G338" t="str">
            <v>عمار عبده الرفاعي ابو المعاطي</v>
          </cell>
          <cell r="H338"/>
          <cell r="I338">
            <v>4000</v>
          </cell>
          <cell r="J338">
            <v>300</v>
          </cell>
          <cell r="K338">
            <v>1000</v>
          </cell>
          <cell r="L338"/>
          <cell r="M338">
            <v>200</v>
          </cell>
          <cell r="N338"/>
          <cell r="O338"/>
          <cell r="P338"/>
          <cell r="Q338"/>
          <cell r="R338"/>
          <cell r="S338">
            <v>5500</v>
          </cell>
        </row>
        <row r="339">
          <cell r="B339">
            <v>3519</v>
          </cell>
          <cell r="C339" t="str">
            <v>لا يوجد</v>
          </cell>
          <cell r="D339" t="str">
            <v>كاش</v>
          </cell>
          <cell r="E339" t="str">
            <v>شئون العاملين</v>
          </cell>
          <cell r="F339" t="str">
            <v>الإدارة</v>
          </cell>
          <cell r="G339" t="str">
            <v>نورهان طارق عبد الباسط الريس</v>
          </cell>
          <cell r="H339"/>
          <cell r="I339">
            <v>3200</v>
          </cell>
          <cell r="J339">
            <v>300</v>
          </cell>
          <cell r="K339"/>
          <cell r="L339"/>
          <cell r="M339">
            <v>500</v>
          </cell>
          <cell r="N339"/>
          <cell r="O339"/>
          <cell r="P339"/>
          <cell r="Q339"/>
          <cell r="R339"/>
          <cell r="S339">
            <v>4000</v>
          </cell>
        </row>
        <row r="340">
          <cell r="B340">
            <v>0</v>
          </cell>
          <cell r="C340" t="str">
            <v>لا يوجد</v>
          </cell>
          <cell r="D340" t="str">
            <v>كاش</v>
          </cell>
          <cell r="E340">
            <v>0</v>
          </cell>
          <cell r="F340">
            <v>0</v>
          </cell>
          <cell r="G340">
            <v>0</v>
          </cell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>
            <v>0</v>
          </cell>
        </row>
        <row r="341">
          <cell r="B341">
            <v>2128</v>
          </cell>
          <cell r="C341" t="str">
            <v>ديسمبر</v>
          </cell>
          <cell r="D341" t="str">
            <v>فيزا قاهرة</v>
          </cell>
          <cell r="E341" t="str">
            <v>ثني رجل</v>
          </cell>
          <cell r="F341" t="str">
            <v>خط الفنيش 3</v>
          </cell>
          <cell r="G341" t="str">
            <v>احمد حسام مصطفى السيد فرج</v>
          </cell>
          <cell r="H341"/>
          <cell r="I341">
            <v>5600</v>
          </cell>
          <cell r="J341">
            <v>300</v>
          </cell>
          <cell r="K341">
            <v>800</v>
          </cell>
          <cell r="L341"/>
          <cell r="M341">
            <v>300</v>
          </cell>
          <cell r="N341"/>
          <cell r="O341">
            <v>500</v>
          </cell>
          <cell r="P341"/>
          <cell r="Q341"/>
          <cell r="R341"/>
          <cell r="S341">
            <v>7500</v>
          </cell>
        </row>
        <row r="342">
          <cell r="B342">
            <v>3145</v>
          </cell>
          <cell r="C342" t="str">
            <v>ديسمبر</v>
          </cell>
          <cell r="D342" t="str">
            <v>كاش</v>
          </cell>
          <cell r="E342" t="str">
            <v>فرماتورة</v>
          </cell>
          <cell r="F342" t="str">
            <v>عراوي</v>
          </cell>
          <cell r="G342" t="str">
            <v>بدر السيد احمد السيد علي</v>
          </cell>
          <cell r="H342"/>
          <cell r="I342">
            <v>4600</v>
          </cell>
          <cell r="J342">
            <v>300</v>
          </cell>
          <cell r="K342">
            <v>300</v>
          </cell>
          <cell r="L342"/>
          <cell r="M342">
            <v>300</v>
          </cell>
          <cell r="N342"/>
          <cell r="O342"/>
          <cell r="P342"/>
          <cell r="Q342"/>
          <cell r="R342"/>
          <cell r="S342">
            <v>5500</v>
          </cell>
        </row>
        <row r="343">
          <cell r="B343">
            <v>3537</v>
          </cell>
          <cell r="C343" t="str">
            <v>لا يوجد</v>
          </cell>
          <cell r="D343" t="str">
            <v>كاش</v>
          </cell>
          <cell r="E343" t="str">
            <v>تعبئة</v>
          </cell>
          <cell r="F343" t="str">
            <v>نهائي</v>
          </cell>
          <cell r="G343" t="str">
            <v xml:space="preserve"> عبدالرحمن علي السيد محمد مصطفى شطا</v>
          </cell>
          <cell r="H343"/>
          <cell r="I343">
            <v>4100</v>
          </cell>
          <cell r="J343">
            <v>300</v>
          </cell>
          <cell r="K343">
            <v>300</v>
          </cell>
          <cell r="L343"/>
          <cell r="M343">
            <v>300</v>
          </cell>
          <cell r="N343"/>
          <cell r="O343"/>
          <cell r="P343"/>
          <cell r="Q343"/>
          <cell r="R343"/>
          <cell r="S343">
            <v>5000</v>
          </cell>
        </row>
        <row r="344">
          <cell r="B344">
            <v>3105</v>
          </cell>
          <cell r="C344" t="str">
            <v>يونيو</v>
          </cell>
          <cell r="D344" t="str">
            <v>فيزا اهلي</v>
          </cell>
          <cell r="E344" t="str">
            <v>القص</v>
          </cell>
          <cell r="F344" t="str">
            <v>الجودة</v>
          </cell>
          <cell r="G344" t="str">
            <v>مي خالد احمد احمد الشناوي</v>
          </cell>
          <cell r="H344"/>
          <cell r="I344">
            <v>3600</v>
          </cell>
          <cell r="J344">
            <v>300</v>
          </cell>
          <cell r="K344">
            <v>300</v>
          </cell>
          <cell r="L344"/>
          <cell r="M344">
            <v>300</v>
          </cell>
          <cell r="N344"/>
          <cell r="O344"/>
          <cell r="P344"/>
          <cell r="Q344"/>
          <cell r="R344"/>
          <cell r="S344">
            <v>4500</v>
          </cell>
        </row>
        <row r="345">
          <cell r="B345">
            <v>0</v>
          </cell>
          <cell r="C345" t="str">
            <v>لا يوجد</v>
          </cell>
          <cell r="D345" t="str">
            <v>كاش</v>
          </cell>
          <cell r="E345">
            <v>0</v>
          </cell>
          <cell r="F345">
            <v>0</v>
          </cell>
          <cell r="G345">
            <v>0</v>
          </cell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>
            <v>0</v>
          </cell>
        </row>
        <row r="346">
          <cell r="B346">
            <v>3349</v>
          </cell>
          <cell r="C346" t="str">
            <v>يوليو</v>
          </cell>
          <cell r="D346" t="str">
            <v>فيزا قاهرة</v>
          </cell>
          <cell r="E346" t="str">
            <v>الامن</v>
          </cell>
          <cell r="F346" t="str">
            <v>الامن</v>
          </cell>
          <cell r="G346" t="str">
            <v>سارة محسن السيد الزعلوك</v>
          </cell>
          <cell r="H346"/>
          <cell r="I346">
            <v>3300</v>
          </cell>
          <cell r="J346">
            <v>300</v>
          </cell>
          <cell r="K346">
            <v>300</v>
          </cell>
          <cell r="L346"/>
          <cell r="M346">
            <v>300</v>
          </cell>
          <cell r="N346"/>
          <cell r="O346"/>
          <cell r="P346"/>
          <cell r="Q346"/>
          <cell r="R346"/>
          <cell r="S346">
            <v>4200</v>
          </cell>
        </row>
        <row r="347">
          <cell r="B347">
            <v>2039</v>
          </cell>
          <cell r="C347" t="str">
            <v>لا يوجد</v>
          </cell>
          <cell r="D347" t="str">
            <v>فيزا قاهرة</v>
          </cell>
          <cell r="E347" t="str">
            <v>اوفر حجر وجنب</v>
          </cell>
          <cell r="F347" t="str">
            <v>خط الفنيش 2</v>
          </cell>
          <cell r="G347" t="str">
            <v>فاطمة جمال السيد علي منسي</v>
          </cell>
          <cell r="H347"/>
          <cell r="I347">
            <v>4900</v>
          </cell>
          <cell r="J347">
            <v>300</v>
          </cell>
          <cell r="K347">
            <v>1000</v>
          </cell>
          <cell r="L347"/>
          <cell r="M347">
            <v>500</v>
          </cell>
          <cell r="N347"/>
          <cell r="O347">
            <v>500</v>
          </cell>
          <cell r="P347"/>
          <cell r="Q347"/>
          <cell r="R347"/>
          <cell r="S347">
            <v>7200</v>
          </cell>
        </row>
        <row r="348">
          <cell r="B348">
            <v>2226</v>
          </cell>
          <cell r="C348" t="str">
            <v>ديسمبر</v>
          </cell>
          <cell r="D348" t="str">
            <v>فيزا قاهرة</v>
          </cell>
          <cell r="E348" t="str">
            <v>خط الفنيش 3</v>
          </cell>
          <cell r="F348" t="str">
            <v>الجودة</v>
          </cell>
          <cell r="G348" t="str">
            <v>ايسه محمد الجميل سليمان</v>
          </cell>
          <cell r="H348"/>
          <cell r="I348">
            <v>4600</v>
          </cell>
          <cell r="J348">
            <v>300</v>
          </cell>
          <cell r="K348">
            <v>300</v>
          </cell>
          <cell r="L348"/>
          <cell r="M348">
            <v>300</v>
          </cell>
          <cell r="N348"/>
          <cell r="O348"/>
          <cell r="P348"/>
          <cell r="Q348"/>
          <cell r="R348"/>
          <cell r="S348">
            <v>5500</v>
          </cell>
        </row>
        <row r="349">
          <cell r="B349">
            <v>2433</v>
          </cell>
          <cell r="C349" t="str">
            <v>ديسمبر</v>
          </cell>
          <cell r="D349" t="str">
            <v>فيزا اهلي</v>
          </cell>
          <cell r="E349" t="str">
            <v>خط الفنيش 2</v>
          </cell>
          <cell r="F349" t="str">
            <v>الجودة</v>
          </cell>
          <cell r="G349" t="str">
            <v>شيرين إبراهيم على محمد السيد النبلاوى</v>
          </cell>
          <cell r="H349"/>
          <cell r="I349">
            <v>4600</v>
          </cell>
          <cell r="J349">
            <v>300</v>
          </cell>
          <cell r="K349">
            <v>300</v>
          </cell>
          <cell r="L349"/>
          <cell r="M349">
            <v>300</v>
          </cell>
          <cell r="N349"/>
          <cell r="O349"/>
          <cell r="P349"/>
          <cell r="Q349"/>
          <cell r="R349"/>
          <cell r="S349">
            <v>5500</v>
          </cell>
        </row>
        <row r="350">
          <cell r="B350">
            <v>3162</v>
          </cell>
          <cell r="C350" t="str">
            <v>لا يوجد</v>
          </cell>
          <cell r="D350" t="str">
            <v>كاش</v>
          </cell>
          <cell r="E350" t="str">
            <v>فرماتورة</v>
          </cell>
          <cell r="F350" t="str">
            <v>عراوي</v>
          </cell>
          <cell r="G350" t="str">
            <v>شهد مسعد محمد ريان</v>
          </cell>
          <cell r="H350"/>
          <cell r="I350">
            <v>4100</v>
          </cell>
          <cell r="J350">
            <v>300</v>
          </cell>
          <cell r="K350">
            <v>300</v>
          </cell>
          <cell r="L350"/>
          <cell r="M350">
            <v>300</v>
          </cell>
          <cell r="N350"/>
          <cell r="O350">
            <v>500</v>
          </cell>
          <cell r="P350"/>
          <cell r="Q350"/>
          <cell r="R350"/>
          <cell r="S350">
            <v>5500</v>
          </cell>
        </row>
        <row r="351">
          <cell r="B351">
            <v>0</v>
          </cell>
          <cell r="C351" t="str">
            <v>لا يوجد</v>
          </cell>
          <cell r="D351" t="str">
            <v>كاش</v>
          </cell>
          <cell r="E351">
            <v>0</v>
          </cell>
          <cell r="F351">
            <v>0</v>
          </cell>
          <cell r="G351">
            <v>0</v>
          </cell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>
            <v>0</v>
          </cell>
        </row>
        <row r="352">
          <cell r="B352">
            <v>3536</v>
          </cell>
          <cell r="C352" t="str">
            <v>لا يوجد</v>
          </cell>
          <cell r="D352" t="str">
            <v>كاش</v>
          </cell>
          <cell r="E352" t="str">
            <v>مكواه نهائي</v>
          </cell>
          <cell r="F352" t="str">
            <v>نهائي</v>
          </cell>
          <cell r="G352" t="str">
            <v>محمد علي محمد متولي احمد الامير</v>
          </cell>
          <cell r="H352"/>
          <cell r="I352">
            <v>4700</v>
          </cell>
          <cell r="J352">
            <v>300</v>
          </cell>
          <cell r="K352">
            <v>500</v>
          </cell>
          <cell r="L352">
            <v>150</v>
          </cell>
          <cell r="M352">
            <v>500</v>
          </cell>
          <cell r="N352"/>
          <cell r="O352"/>
          <cell r="P352"/>
          <cell r="Q352"/>
          <cell r="R352"/>
          <cell r="S352">
            <v>6150</v>
          </cell>
        </row>
        <row r="353">
          <cell r="B353">
            <v>2249</v>
          </cell>
          <cell r="C353" t="str">
            <v>يونيو</v>
          </cell>
          <cell r="D353" t="str">
            <v>كاش</v>
          </cell>
          <cell r="E353" t="str">
            <v>خياط</v>
          </cell>
          <cell r="F353" t="str">
            <v>خط الفنيش 2</v>
          </cell>
          <cell r="G353" t="str">
            <v>محمد حبيب رفعت ابراهيم</v>
          </cell>
          <cell r="H353"/>
          <cell r="I353">
            <v>6200</v>
          </cell>
          <cell r="J353">
            <v>300</v>
          </cell>
          <cell r="K353">
            <v>500</v>
          </cell>
          <cell r="L353"/>
          <cell r="M353">
            <v>500</v>
          </cell>
          <cell r="N353"/>
          <cell r="O353"/>
          <cell r="P353"/>
          <cell r="Q353"/>
          <cell r="R353"/>
          <cell r="S353">
            <v>7500</v>
          </cell>
        </row>
        <row r="354">
          <cell r="B354">
            <v>3403</v>
          </cell>
          <cell r="C354" t="str">
            <v>ديسمبر</v>
          </cell>
          <cell r="D354" t="str">
            <v>فيزا قاهرة</v>
          </cell>
          <cell r="E354" t="str">
            <v>الباترون</v>
          </cell>
          <cell r="F354" t="str">
            <v>الإدارة الفنية</v>
          </cell>
          <cell r="G354" t="str">
            <v>اسامة السيد محمد السيد</v>
          </cell>
          <cell r="H354"/>
          <cell r="I354">
            <v>4700</v>
          </cell>
          <cell r="J354">
            <v>300</v>
          </cell>
          <cell r="K354"/>
          <cell r="L354"/>
          <cell r="M354">
            <v>1000</v>
          </cell>
          <cell r="N354"/>
          <cell r="O354">
            <v>500</v>
          </cell>
          <cell r="P354"/>
          <cell r="Q354"/>
          <cell r="R354"/>
          <cell r="S354">
            <v>6500</v>
          </cell>
        </row>
        <row r="355">
          <cell r="B355">
            <v>3346</v>
          </cell>
          <cell r="C355" t="str">
            <v>ديسمبر</v>
          </cell>
          <cell r="D355" t="str">
            <v>فيزا قاهرة</v>
          </cell>
          <cell r="E355" t="str">
            <v>ثني رجل</v>
          </cell>
          <cell r="F355" t="str">
            <v>خط الفنيش 1</v>
          </cell>
          <cell r="G355" t="str">
            <v>محمد مسعد مسعد السيد شطا</v>
          </cell>
          <cell r="H355"/>
          <cell r="I355">
            <v>4400</v>
          </cell>
          <cell r="J355">
            <v>300</v>
          </cell>
          <cell r="K355">
            <v>800</v>
          </cell>
          <cell r="L355"/>
          <cell r="M355">
            <v>500</v>
          </cell>
          <cell r="N355"/>
          <cell r="O355"/>
          <cell r="P355"/>
          <cell r="Q355"/>
          <cell r="R355"/>
          <cell r="S355">
            <v>6000</v>
          </cell>
        </row>
        <row r="356">
          <cell r="B356">
            <v>3404</v>
          </cell>
          <cell r="C356" t="str">
            <v>لا يوجد</v>
          </cell>
          <cell r="D356" t="str">
            <v>كاش</v>
          </cell>
          <cell r="E356" t="str">
            <v xml:space="preserve">اوفر +ابرة واحدة </v>
          </cell>
          <cell r="F356" t="str">
            <v>التجهيز</v>
          </cell>
          <cell r="G356" t="str">
            <v>مريم محمد السيد عبدالرحيم العاصي</v>
          </cell>
          <cell r="H356"/>
          <cell r="I356">
            <v>3100</v>
          </cell>
          <cell r="J356">
            <v>300</v>
          </cell>
          <cell r="K356">
            <v>300</v>
          </cell>
          <cell r="L356"/>
          <cell r="M356">
            <v>300</v>
          </cell>
          <cell r="N356"/>
          <cell r="O356"/>
          <cell r="P356"/>
          <cell r="Q356"/>
          <cell r="R356"/>
          <cell r="S356">
            <v>4000</v>
          </cell>
        </row>
        <row r="357">
          <cell r="B357">
            <v>3405</v>
          </cell>
          <cell r="C357" t="str">
            <v>لا يوجد</v>
          </cell>
          <cell r="D357" t="str">
            <v>فيزا قاهرة</v>
          </cell>
          <cell r="E357" t="str">
            <v>بيانات قص</v>
          </cell>
          <cell r="F357" t="str">
            <v>القص</v>
          </cell>
          <cell r="G357" t="str">
            <v>ندا عاطف احمد محمد سلام</v>
          </cell>
          <cell r="H357"/>
          <cell r="I357">
            <v>4100</v>
          </cell>
          <cell r="J357">
            <v>300</v>
          </cell>
          <cell r="K357">
            <v>300</v>
          </cell>
          <cell r="L357"/>
          <cell r="M357">
            <v>300</v>
          </cell>
          <cell r="N357"/>
          <cell r="O357"/>
          <cell r="P357"/>
          <cell r="Q357"/>
          <cell r="R357"/>
          <cell r="S357">
            <v>5000</v>
          </cell>
        </row>
        <row r="358">
          <cell r="B358">
            <v>2637</v>
          </cell>
          <cell r="C358" t="str">
            <v>لا يوجد</v>
          </cell>
          <cell r="D358" t="str">
            <v>كاش</v>
          </cell>
          <cell r="E358" t="str">
            <v>خارج العمل</v>
          </cell>
          <cell r="F358" t="str">
            <v>خارج العمل</v>
          </cell>
          <cell r="G358" t="str">
            <v>صالح احمد صالح ابراهيم</v>
          </cell>
          <cell r="H358"/>
          <cell r="I358">
            <v>4600</v>
          </cell>
          <cell r="J358">
            <v>300</v>
          </cell>
          <cell r="K358">
            <v>300</v>
          </cell>
          <cell r="L358"/>
          <cell r="M358">
            <v>300</v>
          </cell>
          <cell r="N358"/>
          <cell r="O358"/>
          <cell r="P358"/>
          <cell r="Q358"/>
          <cell r="R358"/>
          <cell r="S358">
            <v>5500</v>
          </cell>
        </row>
        <row r="359">
          <cell r="B359">
            <v>3147</v>
          </cell>
          <cell r="C359" t="str">
            <v>ديسمبر</v>
          </cell>
          <cell r="D359" t="str">
            <v>فيزا قاهرة</v>
          </cell>
          <cell r="E359" t="str">
            <v>مكواه</v>
          </cell>
          <cell r="F359" t="str">
            <v>نهائي</v>
          </cell>
          <cell r="G359" t="str">
            <v>محمد راضي محمد مقبل خليل</v>
          </cell>
          <cell r="H359"/>
          <cell r="I359">
            <v>4950</v>
          </cell>
          <cell r="J359">
            <v>300</v>
          </cell>
          <cell r="K359">
            <v>300</v>
          </cell>
          <cell r="L359">
            <v>150</v>
          </cell>
          <cell r="M359">
            <v>300</v>
          </cell>
          <cell r="N359"/>
          <cell r="O359"/>
          <cell r="P359"/>
          <cell r="Q359"/>
          <cell r="R359"/>
          <cell r="S359">
            <v>6000</v>
          </cell>
        </row>
        <row r="360">
          <cell r="B360">
            <v>3541</v>
          </cell>
          <cell r="C360" t="str">
            <v>لا يوجد</v>
          </cell>
          <cell r="D360" t="str">
            <v>كاش</v>
          </cell>
          <cell r="E360" t="str">
            <v>خياط</v>
          </cell>
          <cell r="F360" t="str">
            <v>خط الظهر 3</v>
          </cell>
          <cell r="G360" t="str">
            <v>عمر اشرف محمد السيد حسانين</v>
          </cell>
          <cell r="H360"/>
          <cell r="I360">
            <v>3600</v>
          </cell>
          <cell r="J360">
            <v>300</v>
          </cell>
          <cell r="K360">
            <v>300</v>
          </cell>
          <cell r="L360"/>
          <cell r="M360">
            <v>300</v>
          </cell>
          <cell r="N360"/>
          <cell r="O360"/>
          <cell r="P360"/>
          <cell r="Q360"/>
          <cell r="R360"/>
          <cell r="S360">
            <v>4500</v>
          </cell>
        </row>
        <row r="361">
          <cell r="B361">
            <v>3592</v>
          </cell>
          <cell r="C361" t="str">
            <v>لا يوجد</v>
          </cell>
          <cell r="D361" t="str">
            <v>كاش</v>
          </cell>
          <cell r="E361" t="str">
            <v>مساعد</v>
          </cell>
          <cell r="F361" t="str">
            <v>خط 4</v>
          </cell>
          <cell r="G361" t="str">
            <v>محمود السيد السيد محمد صالح</v>
          </cell>
          <cell r="H361"/>
          <cell r="I361">
            <v>3600</v>
          </cell>
          <cell r="J361">
            <v>300</v>
          </cell>
          <cell r="K361">
            <v>300</v>
          </cell>
          <cell r="L361"/>
          <cell r="M361">
            <v>300</v>
          </cell>
          <cell r="N361"/>
          <cell r="O361"/>
          <cell r="P361"/>
          <cell r="Q361"/>
          <cell r="R361"/>
          <cell r="S361">
            <v>4500</v>
          </cell>
        </row>
        <row r="362">
          <cell r="B362">
            <v>3243</v>
          </cell>
          <cell r="C362" t="str">
            <v>يونيو</v>
          </cell>
          <cell r="D362" t="str">
            <v>فيزا قاهرة</v>
          </cell>
          <cell r="E362" t="str">
            <v>دعامة</v>
          </cell>
          <cell r="F362" t="str">
            <v>خط الفنيش 1</v>
          </cell>
          <cell r="G362" t="str">
            <v>احمد محمد العيسوي احمد</v>
          </cell>
          <cell r="H362"/>
          <cell r="I362">
            <v>2450</v>
          </cell>
          <cell r="J362">
            <v>300</v>
          </cell>
          <cell r="K362">
            <v>300</v>
          </cell>
          <cell r="L362">
            <v>150</v>
          </cell>
          <cell r="M362">
            <v>300</v>
          </cell>
          <cell r="N362"/>
          <cell r="O362"/>
          <cell r="P362"/>
          <cell r="Q362"/>
          <cell r="R362"/>
          <cell r="S362">
            <v>3500</v>
          </cell>
        </row>
        <row r="363">
          <cell r="B363">
            <v>0</v>
          </cell>
          <cell r="C363" t="str">
            <v>لا يوجد</v>
          </cell>
          <cell r="D363" t="str">
            <v>كاش</v>
          </cell>
          <cell r="E363">
            <v>0</v>
          </cell>
          <cell r="F363">
            <v>0</v>
          </cell>
          <cell r="G363">
            <v>0</v>
          </cell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>
            <v>0</v>
          </cell>
        </row>
        <row r="364">
          <cell r="B364">
            <v>3542</v>
          </cell>
          <cell r="C364" t="str">
            <v>لا يوجد</v>
          </cell>
          <cell r="D364" t="str">
            <v>كاش</v>
          </cell>
          <cell r="E364" t="str">
            <v>الصيانة</v>
          </cell>
          <cell r="F364" t="str">
            <v>الصيانة</v>
          </cell>
          <cell r="G364" t="str">
            <v>محمد احمد عبدالوهاب طنطاوي</v>
          </cell>
          <cell r="H364"/>
          <cell r="I364">
            <v>10700</v>
          </cell>
          <cell r="J364">
            <v>300</v>
          </cell>
          <cell r="K364"/>
          <cell r="L364"/>
          <cell r="M364">
            <v>2000</v>
          </cell>
          <cell r="N364"/>
          <cell r="O364">
            <v>2000</v>
          </cell>
          <cell r="P364"/>
          <cell r="Q364"/>
          <cell r="R364"/>
          <cell r="S364">
            <v>15000</v>
          </cell>
        </row>
        <row r="365">
          <cell r="B365">
            <v>3540</v>
          </cell>
          <cell r="C365" t="str">
            <v>لا يوجد</v>
          </cell>
          <cell r="D365" t="str">
            <v>كاش</v>
          </cell>
          <cell r="E365" t="str">
            <v>مساعدة</v>
          </cell>
          <cell r="F365" t="str">
            <v>خط الفنيش 1</v>
          </cell>
          <cell r="G365" t="str">
            <v>اماني عبده محمد عبدالغني خليل</v>
          </cell>
          <cell r="H365"/>
          <cell r="I365">
            <v>2600</v>
          </cell>
          <cell r="J365">
            <v>300</v>
          </cell>
          <cell r="K365">
            <v>300</v>
          </cell>
          <cell r="L365"/>
          <cell r="M365">
            <v>300</v>
          </cell>
          <cell r="N365"/>
          <cell r="O365"/>
          <cell r="P365"/>
          <cell r="Q365"/>
          <cell r="R365"/>
          <cell r="S365">
            <v>3500</v>
          </cell>
        </row>
        <row r="366">
          <cell r="B366">
            <v>3406</v>
          </cell>
          <cell r="C366" t="str">
            <v>ديسمبر</v>
          </cell>
          <cell r="D366" t="str">
            <v>فيزا قاهرة</v>
          </cell>
          <cell r="E366" t="str">
            <v>فرماتورة</v>
          </cell>
          <cell r="F366" t="str">
            <v>عراوي</v>
          </cell>
          <cell r="G366" t="str">
            <v>محمود محمود السيد ابراهيم</v>
          </cell>
          <cell r="H366"/>
          <cell r="I366">
            <v>4200</v>
          </cell>
          <cell r="J366">
            <v>300</v>
          </cell>
          <cell r="K366">
            <v>500</v>
          </cell>
          <cell r="L366"/>
          <cell r="M366">
            <v>500</v>
          </cell>
          <cell r="N366"/>
          <cell r="O366"/>
          <cell r="P366"/>
          <cell r="Q366"/>
          <cell r="R366"/>
          <cell r="S366">
            <v>5500</v>
          </cell>
        </row>
        <row r="367">
          <cell r="B367">
            <v>2752</v>
          </cell>
          <cell r="C367" t="str">
            <v>ديسمبر</v>
          </cell>
          <cell r="D367" t="str">
            <v>فيزا قاهرة</v>
          </cell>
          <cell r="E367" t="str">
            <v>خدمات</v>
          </cell>
          <cell r="F367" t="str">
            <v>خدمات</v>
          </cell>
          <cell r="G367" t="str">
            <v>اسماء محمد عبده محمد يوسف</v>
          </cell>
          <cell r="H367"/>
          <cell r="I367">
            <v>3900</v>
          </cell>
          <cell r="J367">
            <v>300</v>
          </cell>
          <cell r="K367"/>
          <cell r="L367"/>
          <cell r="M367">
            <v>200</v>
          </cell>
          <cell r="N367"/>
          <cell r="O367"/>
          <cell r="P367"/>
          <cell r="Q367"/>
          <cell r="R367"/>
          <cell r="S367">
            <v>4400</v>
          </cell>
        </row>
        <row r="368">
          <cell r="B368">
            <v>3543</v>
          </cell>
          <cell r="C368" t="str">
            <v>لا يوجد</v>
          </cell>
          <cell r="D368" t="str">
            <v>كاش</v>
          </cell>
          <cell r="E368" t="str">
            <v>جودة نهائي</v>
          </cell>
          <cell r="F368" t="str">
            <v>نهائي</v>
          </cell>
          <cell r="G368" t="str">
            <v>نادر الغالي محمد منصور</v>
          </cell>
          <cell r="H368"/>
          <cell r="I368">
            <v>5700</v>
          </cell>
          <cell r="J368">
            <v>300</v>
          </cell>
          <cell r="K368">
            <v>500</v>
          </cell>
          <cell r="L368"/>
          <cell r="M368">
            <v>500</v>
          </cell>
          <cell r="N368"/>
          <cell r="O368"/>
          <cell r="P368"/>
          <cell r="Q368"/>
          <cell r="R368"/>
          <cell r="S368">
            <v>7000</v>
          </cell>
        </row>
        <row r="369">
          <cell r="B369">
            <v>3544</v>
          </cell>
          <cell r="C369" t="str">
            <v>لا يوجد</v>
          </cell>
          <cell r="D369" t="str">
            <v>كاش</v>
          </cell>
          <cell r="E369" t="str">
            <v>دعامة</v>
          </cell>
          <cell r="F369" t="str">
            <v>خط الظهر 3</v>
          </cell>
          <cell r="G369" t="str">
            <v>هانم ابراهيم فرج محمد فرج</v>
          </cell>
          <cell r="H369"/>
          <cell r="I369">
            <v>3600</v>
          </cell>
          <cell r="J369">
            <v>300</v>
          </cell>
          <cell r="K369">
            <v>300</v>
          </cell>
          <cell r="L369"/>
          <cell r="M369">
            <v>300</v>
          </cell>
          <cell r="N369"/>
          <cell r="O369"/>
          <cell r="P369"/>
          <cell r="Q369"/>
          <cell r="R369"/>
          <cell r="S369">
            <v>4500</v>
          </cell>
        </row>
        <row r="370">
          <cell r="B370">
            <v>2770</v>
          </cell>
          <cell r="C370" t="str">
            <v>لا يوجد</v>
          </cell>
          <cell r="D370" t="str">
            <v>كاش</v>
          </cell>
          <cell r="E370" t="str">
            <v>مساعدة</v>
          </cell>
          <cell r="F370" t="str">
            <v>خط الفنيش 1</v>
          </cell>
          <cell r="G370" t="str">
            <v>دعاء لبيب سليمان علي</v>
          </cell>
          <cell r="H370"/>
          <cell r="I370">
            <v>2600</v>
          </cell>
          <cell r="J370">
            <v>300</v>
          </cell>
          <cell r="K370">
            <v>300</v>
          </cell>
          <cell r="L370"/>
          <cell r="M370">
            <v>300</v>
          </cell>
          <cell r="N370"/>
          <cell r="O370"/>
          <cell r="P370"/>
          <cell r="Q370"/>
          <cell r="R370"/>
          <cell r="S370">
            <v>3500</v>
          </cell>
        </row>
        <row r="371">
          <cell r="B371">
            <v>2316</v>
          </cell>
          <cell r="C371" t="str">
            <v>ديسمبر</v>
          </cell>
          <cell r="D371" t="str">
            <v>فيزا قاهرة</v>
          </cell>
          <cell r="E371" t="str">
            <v>خارج العمل</v>
          </cell>
          <cell r="F371" t="str">
            <v>خارج العمل</v>
          </cell>
          <cell r="G371" t="str">
            <v>نورا علي حافظ علي اللبان</v>
          </cell>
          <cell r="H371"/>
          <cell r="I371">
            <v>4900</v>
          </cell>
          <cell r="J371">
            <v>300</v>
          </cell>
          <cell r="K371">
            <v>1000</v>
          </cell>
          <cell r="L371"/>
          <cell r="M371">
            <v>500</v>
          </cell>
          <cell r="N371"/>
          <cell r="O371">
            <v>500</v>
          </cell>
          <cell r="P371"/>
          <cell r="Q371"/>
          <cell r="R371"/>
          <cell r="S371">
            <v>7200</v>
          </cell>
        </row>
        <row r="372">
          <cell r="B372">
            <v>3157</v>
          </cell>
          <cell r="C372" t="str">
            <v>ديسمبر</v>
          </cell>
          <cell r="D372" t="str">
            <v>فيزا اهلي</v>
          </cell>
          <cell r="E372" t="str">
            <v>الإدارة الفنية</v>
          </cell>
          <cell r="F372" t="str">
            <v>الإدارة الفنية</v>
          </cell>
          <cell r="G372" t="str">
            <v>امنية علي عبدالدايم حسن هندام</v>
          </cell>
          <cell r="H372"/>
          <cell r="I372">
            <v>4700</v>
          </cell>
          <cell r="J372">
            <v>300</v>
          </cell>
          <cell r="K372"/>
          <cell r="L372"/>
          <cell r="M372">
            <v>500</v>
          </cell>
          <cell r="N372"/>
          <cell r="O372"/>
          <cell r="P372"/>
          <cell r="Q372"/>
          <cell r="R372"/>
          <cell r="S372">
            <v>5500</v>
          </cell>
        </row>
        <row r="373">
          <cell r="B373">
            <v>3440</v>
          </cell>
          <cell r="C373" t="str">
            <v>لا يوجد</v>
          </cell>
          <cell r="D373" t="str">
            <v>فيزا قاهرة</v>
          </cell>
          <cell r="E373" t="str">
            <v>جودة نهائي</v>
          </cell>
          <cell r="F373" t="str">
            <v>نهائي</v>
          </cell>
          <cell r="G373" t="str">
            <v>محمد احمد فؤاد السيد عوف</v>
          </cell>
          <cell r="H373"/>
          <cell r="I373">
            <v>4200</v>
          </cell>
          <cell r="J373">
            <v>300</v>
          </cell>
          <cell r="K373">
            <v>500</v>
          </cell>
          <cell r="L373"/>
          <cell r="M373">
            <v>500</v>
          </cell>
          <cell r="N373"/>
          <cell r="O373">
            <v>500</v>
          </cell>
          <cell r="P373"/>
          <cell r="Q373"/>
          <cell r="R373"/>
          <cell r="S373">
            <v>6000</v>
          </cell>
        </row>
        <row r="374">
          <cell r="B374">
            <v>3545</v>
          </cell>
          <cell r="C374" t="str">
            <v>لا يوجد</v>
          </cell>
          <cell r="D374" t="str">
            <v>كاش</v>
          </cell>
          <cell r="E374" t="str">
            <v>خارج العمل</v>
          </cell>
          <cell r="F374" t="str">
            <v>خارج العمل</v>
          </cell>
          <cell r="G374" t="str">
            <v>محمد سالم عبدالسلام شطا مصطفى</v>
          </cell>
          <cell r="H374"/>
          <cell r="I374">
            <v>4600</v>
          </cell>
          <cell r="J374">
            <v>300</v>
          </cell>
          <cell r="K374">
            <v>300</v>
          </cell>
          <cell r="L374"/>
          <cell r="M374">
            <v>300</v>
          </cell>
          <cell r="N374"/>
          <cell r="O374"/>
          <cell r="P374"/>
          <cell r="Q374"/>
          <cell r="R374"/>
          <cell r="S374">
            <v>5500</v>
          </cell>
        </row>
        <row r="375">
          <cell r="B375">
            <v>2688</v>
          </cell>
          <cell r="C375" t="str">
            <v>ديسمبر</v>
          </cell>
          <cell r="D375" t="str">
            <v>كاش</v>
          </cell>
          <cell r="E375" t="str">
            <v>خدمات</v>
          </cell>
          <cell r="F375" t="str">
            <v>خدمات</v>
          </cell>
          <cell r="G375" t="str">
            <v>هانم فوزي احمد عاشور</v>
          </cell>
          <cell r="H375"/>
          <cell r="I375">
            <v>3900</v>
          </cell>
          <cell r="J375">
            <v>300</v>
          </cell>
          <cell r="K375"/>
          <cell r="L375"/>
          <cell r="M375">
            <v>200</v>
          </cell>
          <cell r="N375"/>
          <cell r="O375"/>
          <cell r="P375"/>
          <cell r="Q375"/>
          <cell r="R375"/>
          <cell r="S375">
            <v>4400</v>
          </cell>
        </row>
        <row r="376">
          <cell r="B376">
            <v>3156</v>
          </cell>
          <cell r="C376" t="str">
            <v>يونيو</v>
          </cell>
          <cell r="D376" t="str">
            <v>فيزا قاهرة</v>
          </cell>
          <cell r="E376" t="str">
            <v>تجميع صدرين</v>
          </cell>
          <cell r="F376" t="str">
            <v>خط الصدر 3</v>
          </cell>
          <cell r="G376" t="str">
            <v>انس محمد فرج محمد فرج</v>
          </cell>
          <cell r="H376"/>
          <cell r="I376">
            <v>3900</v>
          </cell>
          <cell r="J376">
            <v>300</v>
          </cell>
          <cell r="K376">
            <v>1000</v>
          </cell>
          <cell r="L376"/>
          <cell r="M376">
            <v>300</v>
          </cell>
          <cell r="N376"/>
          <cell r="O376"/>
          <cell r="P376"/>
          <cell r="Q376"/>
          <cell r="R376"/>
          <cell r="S376">
            <v>5500</v>
          </cell>
        </row>
        <row r="377">
          <cell r="B377">
            <v>2764</v>
          </cell>
          <cell r="C377" t="str">
            <v>ديسمبر</v>
          </cell>
          <cell r="D377" t="str">
            <v>كاش</v>
          </cell>
          <cell r="E377" t="str">
            <v>كبسول</v>
          </cell>
          <cell r="F377" t="str">
            <v>نهائي</v>
          </cell>
          <cell r="G377" t="str">
            <v>ابراهيم احمد علي ابو زيد</v>
          </cell>
          <cell r="H377"/>
          <cell r="I377">
            <v>3500</v>
          </cell>
          <cell r="J377">
            <v>300</v>
          </cell>
          <cell r="K377">
            <v>300</v>
          </cell>
          <cell r="L377"/>
          <cell r="M377">
            <v>400</v>
          </cell>
          <cell r="N377"/>
          <cell r="O377"/>
          <cell r="P377"/>
          <cell r="Q377"/>
          <cell r="R377"/>
          <cell r="S377">
            <v>4500</v>
          </cell>
        </row>
        <row r="378">
          <cell r="B378">
            <v>3169</v>
          </cell>
          <cell r="C378" t="str">
            <v>يونيو</v>
          </cell>
          <cell r="D378" t="str">
            <v>فيزا قاهرة</v>
          </cell>
          <cell r="E378" t="str">
            <v>تشطيب</v>
          </cell>
          <cell r="F378" t="str">
            <v>التشطيب</v>
          </cell>
          <cell r="G378" t="str">
            <v>سماح محمد احمد رمادة</v>
          </cell>
          <cell r="H378"/>
          <cell r="I378">
            <v>3400</v>
          </cell>
          <cell r="J378">
            <v>300</v>
          </cell>
          <cell r="K378">
            <v>300</v>
          </cell>
          <cell r="L378"/>
          <cell r="M378">
            <v>300</v>
          </cell>
          <cell r="N378"/>
          <cell r="O378"/>
          <cell r="P378"/>
          <cell r="Q378"/>
          <cell r="R378"/>
          <cell r="S378">
            <v>4300</v>
          </cell>
        </row>
        <row r="379">
          <cell r="B379">
            <v>3168</v>
          </cell>
          <cell r="C379" t="str">
            <v>ديسمبر</v>
          </cell>
          <cell r="D379" t="str">
            <v>فيزا اهلي</v>
          </cell>
          <cell r="E379" t="str">
            <v>محاسب مخزن الصيانة</v>
          </cell>
          <cell r="F379" t="str">
            <v>الإدارة</v>
          </cell>
          <cell r="G379" t="str">
            <v>عبدالله محسن علي شطا مصطفى</v>
          </cell>
          <cell r="H379"/>
          <cell r="I379">
            <v>5550</v>
          </cell>
          <cell r="J379">
            <v>300</v>
          </cell>
          <cell r="K379"/>
          <cell r="L379">
            <v>150</v>
          </cell>
          <cell r="M379">
            <v>500</v>
          </cell>
          <cell r="N379"/>
          <cell r="O379">
            <v>500</v>
          </cell>
          <cell r="P379"/>
          <cell r="Q379"/>
          <cell r="R379"/>
          <cell r="S379">
            <v>7000</v>
          </cell>
        </row>
        <row r="380">
          <cell r="B380">
            <v>3593</v>
          </cell>
          <cell r="C380" t="str">
            <v>لا يوجد</v>
          </cell>
          <cell r="D380" t="str">
            <v>كاش</v>
          </cell>
          <cell r="E380" t="str">
            <v>تشطيب</v>
          </cell>
          <cell r="F380" t="str">
            <v>نهائي</v>
          </cell>
          <cell r="G380" t="str">
            <v>فاطمة زغلول عبده عزام</v>
          </cell>
          <cell r="H380"/>
          <cell r="I380">
            <v>3600</v>
          </cell>
          <cell r="J380">
            <v>300</v>
          </cell>
          <cell r="K380">
            <v>300</v>
          </cell>
          <cell r="L380"/>
          <cell r="M380">
            <v>300</v>
          </cell>
          <cell r="N380"/>
          <cell r="O380"/>
          <cell r="P380"/>
          <cell r="Q380"/>
          <cell r="R380"/>
          <cell r="S380">
            <v>4500</v>
          </cell>
        </row>
        <row r="381">
          <cell r="B381">
            <v>3547</v>
          </cell>
          <cell r="C381" t="str">
            <v>لا يوجد</v>
          </cell>
          <cell r="D381" t="str">
            <v>كاش</v>
          </cell>
          <cell r="E381" t="str">
            <v>جودة نهائي</v>
          </cell>
          <cell r="F381" t="str">
            <v>نهائي</v>
          </cell>
          <cell r="G381" t="str">
            <v>ام هاشم محمد علي محمود العاصي</v>
          </cell>
          <cell r="H381"/>
          <cell r="I381">
            <v>4600</v>
          </cell>
          <cell r="J381">
            <v>300</v>
          </cell>
          <cell r="K381">
            <v>300</v>
          </cell>
          <cell r="L381"/>
          <cell r="M381">
            <v>300</v>
          </cell>
          <cell r="N381"/>
          <cell r="O381"/>
          <cell r="P381"/>
          <cell r="Q381"/>
          <cell r="R381"/>
          <cell r="S381">
            <v>5500</v>
          </cell>
        </row>
        <row r="382">
          <cell r="B382">
            <v>1039</v>
          </cell>
          <cell r="C382" t="str">
            <v>لا يوجد</v>
          </cell>
          <cell r="D382" t="str">
            <v>فيزا قاهرة</v>
          </cell>
          <cell r="E382" t="str">
            <v>جودة نهائي</v>
          </cell>
          <cell r="F382" t="str">
            <v>نهائي</v>
          </cell>
          <cell r="G382" t="str">
            <v>ابراهيم محمد ابراهيم محمد حلمى</v>
          </cell>
          <cell r="H382"/>
          <cell r="I382">
            <v>5000</v>
          </cell>
          <cell r="J382">
            <v>300</v>
          </cell>
          <cell r="K382">
            <v>1000</v>
          </cell>
          <cell r="L382">
            <v>200</v>
          </cell>
          <cell r="M382">
            <v>500</v>
          </cell>
          <cell r="N382"/>
          <cell r="O382">
            <v>500</v>
          </cell>
          <cell r="P382"/>
          <cell r="Q382"/>
          <cell r="R382"/>
          <cell r="S382">
            <v>7500</v>
          </cell>
        </row>
        <row r="383">
          <cell r="B383">
            <v>0</v>
          </cell>
          <cell r="C383" t="str">
            <v>لا يوجد</v>
          </cell>
          <cell r="D383" t="str">
            <v>كاش</v>
          </cell>
          <cell r="E383">
            <v>0</v>
          </cell>
          <cell r="F383">
            <v>0</v>
          </cell>
          <cell r="G383">
            <v>0</v>
          </cell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>
            <v>0</v>
          </cell>
        </row>
        <row r="384">
          <cell r="B384">
            <v>0</v>
          </cell>
          <cell r="C384" t="str">
            <v>لا يوجد</v>
          </cell>
          <cell r="D384" t="str">
            <v>كاش</v>
          </cell>
          <cell r="E384">
            <v>0</v>
          </cell>
          <cell r="F384">
            <v>0</v>
          </cell>
          <cell r="G384">
            <v>0</v>
          </cell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>
            <v>0</v>
          </cell>
        </row>
        <row r="385">
          <cell r="B385">
            <v>3077</v>
          </cell>
          <cell r="C385" t="str">
            <v>يناير</v>
          </cell>
          <cell r="D385" t="str">
            <v>فيزا قاهرة</v>
          </cell>
          <cell r="E385" t="str">
            <v>فرد</v>
          </cell>
          <cell r="F385" t="str">
            <v>القص</v>
          </cell>
          <cell r="G385" t="str">
            <v>التميمي محمد مصطفى جبر</v>
          </cell>
          <cell r="H385"/>
          <cell r="I385">
            <v>4200</v>
          </cell>
          <cell r="J385">
            <v>300</v>
          </cell>
          <cell r="K385">
            <v>500</v>
          </cell>
          <cell r="L385">
            <v>150</v>
          </cell>
          <cell r="M385">
            <v>500</v>
          </cell>
          <cell r="N385"/>
          <cell r="O385"/>
          <cell r="P385"/>
          <cell r="Q385"/>
          <cell r="R385"/>
          <cell r="S385">
            <v>5650</v>
          </cell>
        </row>
        <row r="386">
          <cell r="B386">
            <v>3408</v>
          </cell>
          <cell r="C386" t="str">
            <v>ديسمبر</v>
          </cell>
          <cell r="D386" t="str">
            <v>فيزا قاهرة</v>
          </cell>
          <cell r="E386" t="str">
            <v>اوفر حجر وجنب</v>
          </cell>
          <cell r="F386" t="str">
            <v>خط الفنيش 3</v>
          </cell>
          <cell r="G386" t="str">
            <v>السيد ايمن السيد العجمي الخولي</v>
          </cell>
          <cell r="H386"/>
          <cell r="I386">
            <v>4900</v>
          </cell>
          <cell r="J386">
            <v>300</v>
          </cell>
          <cell r="K386">
            <v>1000</v>
          </cell>
          <cell r="L386"/>
          <cell r="M386">
            <v>1000</v>
          </cell>
          <cell r="N386"/>
          <cell r="O386">
            <v>500</v>
          </cell>
          <cell r="P386"/>
          <cell r="Q386"/>
          <cell r="R386"/>
          <cell r="S386">
            <v>7700</v>
          </cell>
        </row>
        <row r="387">
          <cell r="B387">
            <v>3594</v>
          </cell>
          <cell r="C387" t="str">
            <v>لا يوجد</v>
          </cell>
          <cell r="D387" t="str">
            <v>كاش</v>
          </cell>
          <cell r="E387" t="str">
            <v>جودة</v>
          </cell>
          <cell r="F387" t="str">
            <v>نهائي</v>
          </cell>
          <cell r="G387" t="str">
            <v>عزة احمد نعمة الله احمد اصلان</v>
          </cell>
          <cell r="H387"/>
          <cell r="I387">
            <v>3600</v>
          </cell>
          <cell r="J387">
            <v>300</v>
          </cell>
          <cell r="K387">
            <v>300</v>
          </cell>
          <cell r="L387"/>
          <cell r="M387">
            <v>300</v>
          </cell>
          <cell r="N387"/>
          <cell r="O387"/>
          <cell r="P387"/>
          <cell r="Q387"/>
          <cell r="R387"/>
          <cell r="S387">
            <v>4500</v>
          </cell>
        </row>
        <row r="388">
          <cell r="B388">
            <v>2765</v>
          </cell>
          <cell r="C388" t="str">
            <v>ديسمبر</v>
          </cell>
          <cell r="D388" t="str">
            <v>فيزا اهلي</v>
          </cell>
          <cell r="E388" t="str">
            <v>محاسب مخازن</v>
          </cell>
          <cell r="F388" t="str">
            <v>الإدارة</v>
          </cell>
          <cell r="G388" t="str">
            <v>اسلام حماد احمد غزي</v>
          </cell>
          <cell r="H388"/>
          <cell r="I388">
            <v>6700</v>
          </cell>
          <cell r="J388">
            <v>300</v>
          </cell>
          <cell r="K388"/>
          <cell r="L388"/>
          <cell r="M388">
            <v>1000</v>
          </cell>
          <cell r="N388"/>
          <cell r="O388">
            <v>500</v>
          </cell>
          <cell r="P388"/>
          <cell r="Q388"/>
          <cell r="R388"/>
          <cell r="S388">
            <v>8500</v>
          </cell>
        </row>
        <row r="389">
          <cell r="B389">
            <v>3568</v>
          </cell>
          <cell r="C389" t="str">
            <v>لا يوجد</v>
          </cell>
          <cell r="D389" t="str">
            <v>كاش</v>
          </cell>
          <cell r="E389" t="str">
            <v>خدمات</v>
          </cell>
          <cell r="F389" t="str">
            <v>خدمات</v>
          </cell>
          <cell r="G389" t="str">
            <v>علي محمد علي السيد منسي</v>
          </cell>
          <cell r="H389"/>
          <cell r="I389">
            <v>3100</v>
          </cell>
          <cell r="J389">
            <v>300</v>
          </cell>
          <cell r="K389">
            <v>300</v>
          </cell>
          <cell r="L389"/>
          <cell r="M389">
            <v>300</v>
          </cell>
          <cell r="N389"/>
          <cell r="O389"/>
          <cell r="P389"/>
          <cell r="Q389"/>
          <cell r="R389"/>
          <cell r="S389">
            <v>4000</v>
          </cell>
        </row>
        <row r="390">
          <cell r="B390">
            <v>2771</v>
          </cell>
          <cell r="C390" t="str">
            <v>يناير</v>
          </cell>
          <cell r="D390" t="str">
            <v>كاش</v>
          </cell>
          <cell r="E390" t="str">
            <v>فرماتورة</v>
          </cell>
          <cell r="F390" t="str">
            <v>عراوي</v>
          </cell>
          <cell r="G390" t="str">
            <v>منة محمود كمال مصطفى غبن</v>
          </cell>
          <cell r="H390"/>
          <cell r="I390">
            <v>4100</v>
          </cell>
          <cell r="J390">
            <v>300</v>
          </cell>
          <cell r="K390">
            <v>300</v>
          </cell>
          <cell r="L390"/>
          <cell r="M390">
            <v>300</v>
          </cell>
          <cell r="N390"/>
          <cell r="O390"/>
          <cell r="P390"/>
          <cell r="Q390"/>
          <cell r="R390"/>
          <cell r="S390">
            <v>5000</v>
          </cell>
        </row>
        <row r="391">
          <cell r="B391">
            <v>2726</v>
          </cell>
          <cell r="C391" t="str">
            <v>ديسمبر</v>
          </cell>
          <cell r="D391" t="str">
            <v>فيزا قاهرة</v>
          </cell>
          <cell r="E391" t="str">
            <v>تعبئة</v>
          </cell>
          <cell r="F391" t="str">
            <v>نهائي</v>
          </cell>
          <cell r="G391" t="str">
            <v>جهاد سليمان التميمي ابو سمرة</v>
          </cell>
          <cell r="H391"/>
          <cell r="I391">
            <v>3600</v>
          </cell>
          <cell r="J391">
            <v>300</v>
          </cell>
          <cell r="K391">
            <v>300</v>
          </cell>
          <cell r="L391"/>
          <cell r="M391">
            <v>300</v>
          </cell>
          <cell r="N391"/>
          <cell r="O391"/>
          <cell r="P391"/>
          <cell r="Q391"/>
          <cell r="R391"/>
          <cell r="S391">
            <v>4500</v>
          </cell>
        </row>
        <row r="392">
          <cell r="B392">
            <v>3106</v>
          </cell>
          <cell r="C392" t="str">
            <v>لا يوجد</v>
          </cell>
          <cell r="D392" t="str">
            <v>فيزا قاهرة</v>
          </cell>
          <cell r="E392" t="str">
            <v>جودة فنيش خط 4</v>
          </cell>
          <cell r="F392" t="str">
            <v>الجودة</v>
          </cell>
          <cell r="G392" t="str">
            <v>منة الله السيد عبدالعال حلمي سليمان</v>
          </cell>
          <cell r="H392"/>
          <cell r="I392">
            <v>4800</v>
          </cell>
          <cell r="J392">
            <v>300</v>
          </cell>
          <cell r="K392">
            <v>1000</v>
          </cell>
          <cell r="L392"/>
          <cell r="M392">
            <v>500</v>
          </cell>
          <cell r="N392"/>
          <cell r="O392"/>
          <cell r="P392"/>
          <cell r="Q392"/>
          <cell r="R392"/>
          <cell r="S392">
            <v>6600</v>
          </cell>
        </row>
        <row r="393">
          <cell r="B393">
            <v>2447</v>
          </cell>
          <cell r="C393" t="str">
            <v>لا يوجد</v>
          </cell>
          <cell r="D393" t="str">
            <v>فيزا قاهرة</v>
          </cell>
          <cell r="E393" t="str">
            <v>جودة خط 1</v>
          </cell>
          <cell r="F393" t="str">
            <v>الجودة</v>
          </cell>
          <cell r="G393" t="str">
            <v>منه الله إبراهيم على احمد النجدي</v>
          </cell>
          <cell r="H393"/>
          <cell r="I393">
            <v>4800</v>
          </cell>
          <cell r="J393">
            <v>300</v>
          </cell>
          <cell r="K393">
            <v>1000</v>
          </cell>
          <cell r="L393"/>
          <cell r="M393">
            <v>500</v>
          </cell>
          <cell r="N393"/>
          <cell r="O393"/>
          <cell r="P393"/>
          <cell r="Q393"/>
          <cell r="R393"/>
          <cell r="S393">
            <v>6600</v>
          </cell>
        </row>
        <row r="394">
          <cell r="B394">
            <v>3256</v>
          </cell>
          <cell r="C394" t="str">
            <v>ديسمبر</v>
          </cell>
          <cell r="D394" t="str">
            <v>فيزا قاهرة</v>
          </cell>
          <cell r="E394" t="str">
            <v>جودة كمر خط 2</v>
          </cell>
          <cell r="F394" t="str">
            <v>الجودة</v>
          </cell>
          <cell r="G394" t="str">
            <v>محمد عصام ابراهيم محمد</v>
          </cell>
          <cell r="H394"/>
          <cell r="I394">
            <v>3600</v>
          </cell>
          <cell r="J394">
            <v>300</v>
          </cell>
          <cell r="K394">
            <v>300</v>
          </cell>
          <cell r="L394"/>
          <cell r="M394">
            <v>300</v>
          </cell>
          <cell r="N394"/>
          <cell r="O394"/>
          <cell r="P394"/>
          <cell r="Q394"/>
          <cell r="R394"/>
          <cell r="S394">
            <v>4500</v>
          </cell>
        </row>
        <row r="395">
          <cell r="B395">
            <v>1094</v>
          </cell>
          <cell r="C395" t="str">
            <v>لا يوجد</v>
          </cell>
          <cell r="D395" t="str">
            <v>فيزا قاهرة</v>
          </cell>
          <cell r="E395" t="str">
            <v>مشرف</v>
          </cell>
          <cell r="F395" t="str">
            <v>خط الصدر 1</v>
          </cell>
          <cell r="G395" t="str">
            <v>علي السيد عباس</v>
          </cell>
          <cell r="H395"/>
          <cell r="I395">
            <v>5200</v>
          </cell>
          <cell r="J395">
            <v>300</v>
          </cell>
          <cell r="K395">
            <v>1000</v>
          </cell>
          <cell r="L395"/>
          <cell r="M395">
            <v>1000</v>
          </cell>
          <cell r="N395"/>
          <cell r="O395">
            <v>500</v>
          </cell>
          <cell r="P395"/>
          <cell r="Q395"/>
          <cell r="R395"/>
          <cell r="S395">
            <v>8000</v>
          </cell>
        </row>
        <row r="396">
          <cell r="B396">
            <v>3595</v>
          </cell>
          <cell r="C396" t="str">
            <v>لا يوجد</v>
          </cell>
          <cell r="D396" t="str">
            <v>كاش</v>
          </cell>
          <cell r="E396" t="str">
            <v>خارج العمل</v>
          </cell>
          <cell r="F396" t="str">
            <v>خارج العمل</v>
          </cell>
          <cell r="G396" t="str">
            <v>ايمان محمد محمد عوض سالم</v>
          </cell>
          <cell r="H396"/>
          <cell r="I396">
            <v>3600</v>
          </cell>
          <cell r="J396">
            <v>300</v>
          </cell>
          <cell r="K396">
            <v>300</v>
          </cell>
          <cell r="L396"/>
          <cell r="M396">
            <v>300</v>
          </cell>
          <cell r="N396"/>
          <cell r="O396"/>
          <cell r="P396"/>
          <cell r="Q396"/>
          <cell r="R396"/>
          <cell r="S396">
            <v>4500</v>
          </cell>
        </row>
        <row r="397">
          <cell r="B397">
            <v>3552</v>
          </cell>
          <cell r="C397" t="str">
            <v>لا يوجد</v>
          </cell>
          <cell r="D397" t="str">
            <v>كاش</v>
          </cell>
          <cell r="E397" t="str">
            <v>الامن</v>
          </cell>
          <cell r="F397" t="str">
            <v>الامن</v>
          </cell>
          <cell r="G397" t="str">
            <v>محمد السيد ابو النور السيد الرفاعي</v>
          </cell>
          <cell r="H397"/>
          <cell r="I397">
            <v>3600</v>
          </cell>
          <cell r="J397">
            <v>300</v>
          </cell>
          <cell r="K397">
            <v>300</v>
          </cell>
          <cell r="L397"/>
          <cell r="M397">
            <v>300</v>
          </cell>
          <cell r="N397"/>
          <cell r="O397"/>
          <cell r="P397"/>
          <cell r="Q397"/>
          <cell r="R397"/>
          <cell r="S397">
            <v>4500</v>
          </cell>
        </row>
        <row r="398">
          <cell r="B398">
            <v>0</v>
          </cell>
          <cell r="C398" t="str">
            <v>لا يوجد</v>
          </cell>
          <cell r="D398" t="str">
            <v>كاش</v>
          </cell>
          <cell r="E398">
            <v>0</v>
          </cell>
          <cell r="F398">
            <v>0</v>
          </cell>
          <cell r="G398">
            <v>0</v>
          </cell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>
            <v>0</v>
          </cell>
        </row>
        <row r="399">
          <cell r="B399">
            <v>3271</v>
          </cell>
          <cell r="C399" t="str">
            <v>لا يوجد</v>
          </cell>
          <cell r="D399" t="str">
            <v>كاش</v>
          </cell>
          <cell r="E399" t="str">
            <v>تثبيت</v>
          </cell>
          <cell r="F399" t="str">
            <v>خط الصدر 2</v>
          </cell>
          <cell r="G399" t="str">
            <v>كريم نعيم حسن يوسف</v>
          </cell>
          <cell r="H399"/>
          <cell r="I399">
            <v>3600</v>
          </cell>
          <cell r="J399">
            <v>300</v>
          </cell>
          <cell r="K399">
            <v>300</v>
          </cell>
          <cell r="L399"/>
          <cell r="M399">
            <v>300</v>
          </cell>
          <cell r="N399"/>
          <cell r="O399"/>
          <cell r="P399"/>
          <cell r="Q399"/>
          <cell r="R399"/>
          <cell r="S399">
            <v>4500</v>
          </cell>
        </row>
        <row r="400">
          <cell r="B400">
            <v>0</v>
          </cell>
          <cell r="C400"/>
          <cell r="D400" t="str">
            <v>كاش</v>
          </cell>
          <cell r="E400">
            <v>0</v>
          </cell>
          <cell r="F400">
            <v>0</v>
          </cell>
          <cell r="G400">
            <v>0</v>
          </cell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>
            <v>0</v>
          </cell>
        </row>
        <row r="401">
          <cell r="B401">
            <v>3270</v>
          </cell>
          <cell r="C401"/>
          <cell r="D401" t="str">
            <v>كاش</v>
          </cell>
          <cell r="E401" t="str">
            <v>كشتورة</v>
          </cell>
          <cell r="F401" t="str">
            <v>خط الفنيش 3</v>
          </cell>
          <cell r="G401" t="str">
            <v>احمد يوسف حسن يوسف حسن</v>
          </cell>
          <cell r="H401"/>
          <cell r="I401">
            <v>3600</v>
          </cell>
          <cell r="J401">
            <v>300</v>
          </cell>
          <cell r="K401">
            <v>300</v>
          </cell>
          <cell r="L401"/>
          <cell r="M401">
            <v>300</v>
          </cell>
          <cell r="N401"/>
          <cell r="O401"/>
          <cell r="P401"/>
          <cell r="Q401"/>
          <cell r="R401"/>
          <cell r="S401">
            <v>4500</v>
          </cell>
        </row>
        <row r="402">
          <cell r="B402">
            <v>2355</v>
          </cell>
          <cell r="C402"/>
          <cell r="D402" t="str">
            <v>كاش</v>
          </cell>
          <cell r="E402" t="str">
            <v>عراوي جيب شق</v>
          </cell>
          <cell r="F402" t="str">
            <v>عراوي</v>
          </cell>
          <cell r="G402" t="str">
            <v>هناء محمد حسن علي حسن</v>
          </cell>
          <cell r="H402"/>
          <cell r="I402">
            <v>4700</v>
          </cell>
          <cell r="J402">
            <v>300</v>
          </cell>
          <cell r="K402">
            <v>500</v>
          </cell>
          <cell r="L402"/>
          <cell r="M402">
            <v>500</v>
          </cell>
          <cell r="N402"/>
          <cell r="O402"/>
          <cell r="P402"/>
          <cell r="Q402"/>
          <cell r="R402"/>
          <cell r="S402">
            <v>6000</v>
          </cell>
        </row>
        <row r="403">
          <cell r="B403">
            <v>3570</v>
          </cell>
          <cell r="C403"/>
          <cell r="D403" t="str">
            <v>كاش</v>
          </cell>
          <cell r="E403" t="str">
            <v>مساعد</v>
          </cell>
          <cell r="F403" t="str">
            <v>خط الفنيش 1</v>
          </cell>
          <cell r="G403" t="str">
            <v>زياد محمد محمد محمد درغام</v>
          </cell>
          <cell r="H403"/>
          <cell r="I403">
            <v>3100</v>
          </cell>
          <cell r="J403">
            <v>300</v>
          </cell>
          <cell r="K403">
            <v>300</v>
          </cell>
          <cell r="L403"/>
          <cell r="M403">
            <v>300</v>
          </cell>
          <cell r="N403"/>
          <cell r="O403"/>
          <cell r="P403"/>
          <cell r="Q403"/>
          <cell r="R403"/>
          <cell r="S403">
            <v>4000</v>
          </cell>
        </row>
        <row r="404">
          <cell r="B404">
            <v>2507</v>
          </cell>
          <cell r="C404"/>
          <cell r="D404" t="str">
            <v>كاش</v>
          </cell>
          <cell r="E404" t="str">
            <v>امين مخزن</v>
          </cell>
          <cell r="F404" t="str">
            <v>الصيانة</v>
          </cell>
          <cell r="G404" t="str">
            <v>السيد العربي صالح صالح الشربيني</v>
          </cell>
          <cell r="H404"/>
          <cell r="I404">
            <v>4700</v>
          </cell>
          <cell r="J404">
            <v>300</v>
          </cell>
          <cell r="K404"/>
          <cell r="L404"/>
          <cell r="M404">
            <v>500</v>
          </cell>
          <cell r="N404"/>
          <cell r="O404"/>
          <cell r="P404"/>
          <cell r="Q404"/>
          <cell r="R404"/>
          <cell r="S404">
            <v>5500</v>
          </cell>
        </row>
        <row r="405">
          <cell r="B405">
            <v>0</v>
          </cell>
          <cell r="C405"/>
          <cell r="D405" t="str">
            <v>كاش</v>
          </cell>
          <cell r="E405">
            <v>0</v>
          </cell>
          <cell r="F405">
            <v>0</v>
          </cell>
          <cell r="G405">
            <v>0</v>
          </cell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>
            <v>0</v>
          </cell>
        </row>
        <row r="406">
          <cell r="B406">
            <v>1050</v>
          </cell>
          <cell r="C406"/>
          <cell r="D406" t="str">
            <v>كاش</v>
          </cell>
          <cell r="E406" t="str">
            <v>كبسول</v>
          </cell>
          <cell r="F406" t="str">
            <v>نهائي</v>
          </cell>
          <cell r="G406" t="str">
            <v>محمود فهيم على محمد محمد عامر</v>
          </cell>
          <cell r="H406"/>
          <cell r="I406">
            <v>5700</v>
          </cell>
          <cell r="J406">
            <v>300</v>
          </cell>
          <cell r="K406">
            <v>500</v>
          </cell>
          <cell r="L406"/>
          <cell r="M406">
            <v>1000</v>
          </cell>
          <cell r="N406"/>
          <cell r="O406">
            <v>500</v>
          </cell>
          <cell r="P406"/>
          <cell r="Q406"/>
          <cell r="R406"/>
          <cell r="S406">
            <v>8000</v>
          </cell>
        </row>
        <row r="407">
          <cell r="B407">
            <v>3596</v>
          </cell>
          <cell r="C407"/>
          <cell r="D407" t="str">
            <v>كاش</v>
          </cell>
          <cell r="E407" t="str">
            <v>تثبيت</v>
          </cell>
          <cell r="F407" t="str">
            <v>خط 4</v>
          </cell>
          <cell r="G407" t="str">
            <v>مي ابراهيم محمد عبدالحليم الحديدي</v>
          </cell>
          <cell r="H407"/>
          <cell r="I407">
            <v>3600</v>
          </cell>
          <cell r="J407">
            <v>300</v>
          </cell>
          <cell r="K407">
            <v>300</v>
          </cell>
          <cell r="L407"/>
          <cell r="M407">
            <v>300</v>
          </cell>
          <cell r="N407"/>
          <cell r="O407"/>
          <cell r="P407"/>
          <cell r="Q407"/>
          <cell r="R407"/>
          <cell r="S407">
            <v>4500</v>
          </cell>
        </row>
        <row r="408">
          <cell r="B408">
            <v>3576</v>
          </cell>
          <cell r="C408"/>
          <cell r="D408" t="str">
            <v>كاش</v>
          </cell>
          <cell r="E408" t="str">
            <v>التجهيز</v>
          </cell>
          <cell r="F408" t="str">
            <v>التجهيز</v>
          </cell>
          <cell r="G408" t="str">
            <v>ريم ابراهيم السيد عرفات احمد</v>
          </cell>
          <cell r="H408"/>
          <cell r="I408">
            <v>2600</v>
          </cell>
          <cell r="J408">
            <v>300</v>
          </cell>
          <cell r="K408">
            <v>300</v>
          </cell>
          <cell r="L408"/>
          <cell r="M408">
            <v>300</v>
          </cell>
          <cell r="N408"/>
          <cell r="O408"/>
          <cell r="P408"/>
          <cell r="Q408"/>
          <cell r="R408"/>
          <cell r="S408">
            <v>3500</v>
          </cell>
        </row>
        <row r="409">
          <cell r="B409">
            <v>3597</v>
          </cell>
          <cell r="C409"/>
          <cell r="D409" t="str">
            <v>كاش</v>
          </cell>
          <cell r="E409" t="str">
            <v>مقاسات</v>
          </cell>
          <cell r="F409" t="str">
            <v>نهائي</v>
          </cell>
          <cell r="G409" t="str">
            <v>خالد احمد عبدالحميد عبدالحي</v>
          </cell>
          <cell r="H409"/>
          <cell r="I409">
            <v>4700</v>
          </cell>
          <cell r="J409">
            <v>300</v>
          </cell>
          <cell r="K409"/>
          <cell r="L409"/>
          <cell r="M409">
            <v>500</v>
          </cell>
          <cell r="N409"/>
          <cell r="O409">
            <v>500</v>
          </cell>
          <cell r="P409"/>
          <cell r="Q409"/>
          <cell r="R409"/>
          <cell r="S409">
            <v>6000</v>
          </cell>
        </row>
        <row r="410">
          <cell r="B410">
            <v>3355</v>
          </cell>
          <cell r="C410"/>
          <cell r="D410" t="str">
            <v>كاش</v>
          </cell>
          <cell r="E410" t="str">
            <v>نهائي</v>
          </cell>
          <cell r="F410" t="str">
            <v>نهائي</v>
          </cell>
          <cell r="G410" t="str">
            <v>حسين احمد احمد محمد حسن</v>
          </cell>
          <cell r="H410"/>
          <cell r="I410">
            <v>4200</v>
          </cell>
          <cell r="J410">
            <v>300</v>
          </cell>
          <cell r="K410">
            <v>500</v>
          </cell>
          <cell r="L410"/>
          <cell r="M410">
            <v>500</v>
          </cell>
          <cell r="N410"/>
          <cell r="O410">
            <v>500</v>
          </cell>
          <cell r="P410"/>
          <cell r="Q410"/>
          <cell r="R410"/>
          <cell r="S410">
            <v>6000</v>
          </cell>
        </row>
        <row r="411">
          <cell r="B411">
            <v>3005</v>
          </cell>
          <cell r="C411"/>
          <cell r="D411" t="str">
            <v>كاش</v>
          </cell>
          <cell r="E411" t="str">
            <v>لوكسات</v>
          </cell>
          <cell r="F411" t="str">
            <v>عراوي</v>
          </cell>
          <cell r="G411" t="str">
            <v>فارس احمد فاروق احمد لطفي</v>
          </cell>
          <cell r="H411"/>
          <cell r="I411">
            <v>4200</v>
          </cell>
          <cell r="J411">
            <v>300</v>
          </cell>
          <cell r="K411">
            <v>500</v>
          </cell>
          <cell r="L411"/>
          <cell r="M411">
            <v>500</v>
          </cell>
          <cell r="N411"/>
          <cell r="O411">
            <v>500</v>
          </cell>
          <cell r="P411"/>
          <cell r="Q411"/>
          <cell r="R411"/>
          <cell r="S411">
            <v>6000</v>
          </cell>
        </row>
        <row r="412">
          <cell r="B412">
            <v>0</v>
          </cell>
          <cell r="C412"/>
          <cell r="D412"/>
          <cell r="E412">
            <v>0</v>
          </cell>
          <cell r="F412">
            <v>0</v>
          </cell>
          <cell r="G412">
            <v>0</v>
          </cell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>
            <v>0</v>
          </cell>
        </row>
        <row r="413">
          <cell r="B413">
            <v>0</v>
          </cell>
          <cell r="C413"/>
          <cell r="D413"/>
          <cell r="E413">
            <v>0</v>
          </cell>
          <cell r="F413">
            <v>0</v>
          </cell>
          <cell r="G413">
            <v>0</v>
          </cell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>
            <v>0</v>
          </cell>
        </row>
        <row r="414">
          <cell r="B414">
            <v>0</v>
          </cell>
          <cell r="C414"/>
          <cell r="D414"/>
          <cell r="E414">
            <v>0</v>
          </cell>
          <cell r="F414">
            <v>0</v>
          </cell>
          <cell r="G414">
            <v>0</v>
          </cell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>
            <v>0</v>
          </cell>
        </row>
        <row r="415">
          <cell r="B415">
            <v>0</v>
          </cell>
          <cell r="C415"/>
          <cell r="D415"/>
          <cell r="E415">
            <v>0</v>
          </cell>
          <cell r="F415">
            <v>0</v>
          </cell>
          <cell r="G415">
            <v>0</v>
          </cell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>
            <v>0</v>
          </cell>
        </row>
        <row r="416">
          <cell r="B416">
            <v>0</v>
          </cell>
          <cell r="C416"/>
          <cell r="D416"/>
          <cell r="E416">
            <v>0</v>
          </cell>
          <cell r="F416">
            <v>0</v>
          </cell>
          <cell r="G416">
            <v>0</v>
          </cell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>
            <v>0</v>
          </cell>
        </row>
        <row r="417">
          <cell r="B417">
            <v>0</v>
          </cell>
          <cell r="C417"/>
          <cell r="D417"/>
          <cell r="E417">
            <v>0</v>
          </cell>
          <cell r="F417">
            <v>0</v>
          </cell>
          <cell r="G417">
            <v>0</v>
          </cell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>
            <v>0</v>
          </cell>
        </row>
        <row r="418">
          <cell r="B418">
            <v>0</v>
          </cell>
          <cell r="C418"/>
          <cell r="D418"/>
          <cell r="E418">
            <v>0</v>
          </cell>
          <cell r="F418">
            <v>0</v>
          </cell>
          <cell r="G418">
            <v>0</v>
          </cell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>
            <v>0</v>
          </cell>
        </row>
        <row r="419">
          <cell r="B419">
            <v>0</v>
          </cell>
          <cell r="C419"/>
          <cell r="D419"/>
          <cell r="E419">
            <v>0</v>
          </cell>
          <cell r="F419">
            <v>0</v>
          </cell>
          <cell r="G419">
            <v>0</v>
          </cell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>
            <v>0</v>
          </cell>
        </row>
        <row r="420">
          <cell r="B420">
            <v>0</v>
          </cell>
          <cell r="C420"/>
          <cell r="D420"/>
          <cell r="E420">
            <v>0</v>
          </cell>
          <cell r="F420">
            <v>0</v>
          </cell>
          <cell r="G420" t="str">
            <v xml:space="preserve"> </v>
          </cell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>
            <v>0</v>
          </cell>
        </row>
        <row r="421"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>
            <v>0</v>
          </cell>
          <cell r="O421">
            <v>97000</v>
          </cell>
          <cell r="P421">
            <v>0</v>
          </cell>
          <cell r="Q421">
            <v>0</v>
          </cell>
          <cell r="R421">
            <v>0</v>
          </cell>
          <cell r="S421">
            <v>2159550</v>
          </cell>
        </row>
        <row r="422">
          <cell r="G422"/>
          <cell r="M422" t="str">
            <v xml:space="preserve"> </v>
          </cell>
        </row>
        <row r="423">
          <cell r="G423"/>
        </row>
        <row r="424">
          <cell r="G424"/>
        </row>
        <row r="425">
          <cell r="G425"/>
        </row>
        <row r="426">
          <cell r="G426"/>
        </row>
        <row r="427">
          <cell r="G427"/>
        </row>
        <row r="428">
          <cell r="G428"/>
        </row>
        <row r="429">
          <cell r="G429"/>
        </row>
        <row r="430">
          <cell r="G430"/>
        </row>
        <row r="431">
          <cell r="G431"/>
        </row>
        <row r="432">
          <cell r="G432"/>
        </row>
        <row r="433">
          <cell r="G433"/>
        </row>
        <row r="434">
          <cell r="G434"/>
        </row>
        <row r="435">
          <cell r="G435"/>
        </row>
        <row r="436">
          <cell r="G436"/>
        </row>
        <row r="437">
          <cell r="G437"/>
        </row>
        <row r="438">
          <cell r="G438"/>
        </row>
        <row r="439">
          <cell r="G439"/>
        </row>
        <row r="440">
          <cell r="G440"/>
        </row>
        <row r="450">
          <cell r="R450" t="str">
            <v xml:space="preserve"> 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5:R357"/>
  <sheetViews>
    <sheetView rightToLeft="1" tabSelected="1" topLeftCell="A331" workbookViewId="0">
      <selection activeCell="O360" sqref="O360"/>
    </sheetView>
  </sheetViews>
  <sheetFormatPr defaultRowHeight="15" x14ac:dyDescent="0.25"/>
  <cols>
    <col min="12" max="12" width="4.85546875" bestFit="1" customWidth="1"/>
    <col min="13" max="13" width="24.28515625" bestFit="1" customWidth="1"/>
    <col min="14" max="14" width="7.42578125" bestFit="1" customWidth="1"/>
    <col min="15" max="15" width="20" customWidth="1"/>
    <col min="16" max="16" width="15.140625" bestFit="1" customWidth="1"/>
  </cols>
  <sheetData>
    <row r="5" spans="11:18" ht="15.75" thickBot="1" x14ac:dyDescent="0.3"/>
    <row r="6" spans="11:18" x14ac:dyDescent="0.25">
      <c r="K6" s="1" t="s">
        <v>0</v>
      </c>
      <c r="L6" s="2" t="s">
        <v>1</v>
      </c>
      <c r="M6" s="2" t="s">
        <v>2</v>
      </c>
      <c r="N6" s="2" t="s">
        <v>7</v>
      </c>
      <c r="O6" s="3" t="s">
        <v>3</v>
      </c>
      <c r="P6" s="2" t="s">
        <v>4</v>
      </c>
      <c r="Q6" s="2" t="s">
        <v>5</v>
      </c>
      <c r="R6" s="4" t="s">
        <v>6</v>
      </c>
    </row>
    <row r="7" spans="11:18" x14ac:dyDescent="0.25">
      <c r="K7" s="5">
        <v>1</v>
      </c>
      <c r="L7" s="6">
        <v>2596</v>
      </c>
      <c r="M7" s="6"/>
      <c r="N7" s="7"/>
      <c r="O7" s="8"/>
      <c r="P7" s="7"/>
      <c r="Q7" s="7">
        <f>_xlfn.XLOOKUP(L7, [1]رواتب!B:B, [1]رواتب!S:S, "")</f>
        <v>11000</v>
      </c>
      <c r="R7" s="9">
        <v>50124</v>
      </c>
    </row>
    <row r="8" spans="11:18" ht="15.75" customHeight="1" x14ac:dyDescent="0.25">
      <c r="K8" s="10">
        <v>2</v>
      </c>
      <c r="L8" s="11">
        <v>2375</v>
      </c>
      <c r="M8" s="11" t="str">
        <f>IFERROR(VLOOKUP(L8, [2]رواتب!B:S, 6, FALSE), "مش موجود")</f>
        <v>علاء مجدي صادق</v>
      </c>
      <c r="N8" s="12" t="str">
        <f>IFERROR(VLOOKUP(L8, [2]رواتب!B:S, 5, FALSE), "مش موجود")</f>
        <v>الإدارة</v>
      </c>
      <c r="O8" s="13"/>
      <c r="P8" s="12"/>
      <c r="Q8" s="12">
        <f>_xlfn.XLOOKUP(L8, [1]رواتب!B:B, [1]رواتب!S:S, "")</f>
        <v>15000</v>
      </c>
      <c r="R8" s="14">
        <v>50125</v>
      </c>
    </row>
    <row r="9" spans="11:18" x14ac:dyDescent="0.25">
      <c r="K9" s="5">
        <v>3</v>
      </c>
      <c r="L9" s="6">
        <v>3070</v>
      </c>
      <c r="M9" s="6" t="str">
        <f>IFERROR(VLOOKUP(L9, [2]رواتب!B:S, 6, FALSE), "مش موجود")</f>
        <v>فاطمة محمد عباس عبده شحاتة</v>
      </c>
      <c r="N9" s="7" t="str">
        <f>IFERROR(VLOOKUP(L9, [2]رواتب!B:S, 5, FALSE), "مش موجود")</f>
        <v>خط 4</v>
      </c>
      <c r="O9" s="8"/>
      <c r="P9" s="7"/>
      <c r="Q9" s="7">
        <f>_xlfn.XLOOKUP(L9, [1]رواتب!B:B, [1]رواتب!S:S, "")</f>
        <v>4000</v>
      </c>
      <c r="R9" s="9">
        <v>50126</v>
      </c>
    </row>
    <row r="10" spans="11:18" x14ac:dyDescent="0.25">
      <c r="K10" s="10">
        <v>4</v>
      </c>
      <c r="L10" s="11">
        <v>3306</v>
      </c>
      <c r="M10" s="11" t="str">
        <f>IFERROR(VLOOKUP(L10, [2]رواتب!B:S, 6, FALSE), "مش موجود")</f>
        <v>محمد ابراهيم صالح ابراهيم</v>
      </c>
      <c r="N10" s="12" t="str">
        <f>IFERROR(VLOOKUP(L10, [2]رواتب!B:S, 5, FALSE), "مش موجود")</f>
        <v>القص</v>
      </c>
      <c r="O10" s="13"/>
      <c r="P10" s="12"/>
      <c r="Q10" s="12">
        <f>_xlfn.XLOOKUP(L10, [1]رواتب!B:B, [1]رواتب!S:S, "")</f>
        <v>5500</v>
      </c>
      <c r="R10" s="14">
        <v>50127</v>
      </c>
    </row>
    <row r="11" spans="11:18" x14ac:dyDescent="0.25">
      <c r="K11" s="5">
        <v>5</v>
      </c>
      <c r="L11" s="6">
        <v>1003</v>
      </c>
      <c r="M11" s="6" t="str">
        <f>IFERROR(VLOOKUP(L11, [2]رواتب!B:S, 6, FALSE), "مش موجود")</f>
        <v>محمد يوسف يوسف الزلاط</v>
      </c>
      <c r="N11" s="7" t="str">
        <f>IFERROR(VLOOKUP(L11, [2]رواتب!B:S, 5, FALSE), "مش موجود")</f>
        <v>التخطيط</v>
      </c>
      <c r="O11" s="8"/>
      <c r="P11" s="7"/>
      <c r="Q11" s="7">
        <f>_xlfn.XLOOKUP(L11, [1]رواتب!B:B, [1]رواتب!S:S, "")</f>
        <v>15000</v>
      </c>
      <c r="R11" s="9">
        <v>50128</v>
      </c>
    </row>
    <row r="12" spans="11:18" x14ac:dyDescent="0.25">
      <c r="K12" s="10">
        <v>6</v>
      </c>
      <c r="L12" s="11">
        <v>10005</v>
      </c>
      <c r="M12" s="11" t="str">
        <f>IFERROR(VLOOKUP(L12, [2]رواتب!B:S, 6, FALSE), "مش موجود")</f>
        <v>عمرو محمد الصديق ابراهيم</v>
      </c>
      <c r="N12" s="12" t="str">
        <f>IFERROR(VLOOKUP(L12, [2]رواتب!B:S, 5, FALSE), "مش موجود")</f>
        <v>التخطيط</v>
      </c>
      <c r="O12" s="13"/>
      <c r="P12" s="12"/>
      <c r="Q12" s="12">
        <f>_xlfn.XLOOKUP(L12, [1]رواتب!B:B, [1]رواتب!S:S, "")</f>
        <v>10000</v>
      </c>
      <c r="R12" s="14">
        <v>50129</v>
      </c>
    </row>
    <row r="13" spans="11:18" x14ac:dyDescent="0.25">
      <c r="K13" s="5">
        <v>7</v>
      </c>
      <c r="L13" s="6">
        <v>2078</v>
      </c>
      <c r="M13" s="6" t="str">
        <f>IFERROR(VLOOKUP(L13, [2]رواتب!B:S, 6, FALSE), "مش موجود")</f>
        <v>منار محمد ابراهيم الباز</v>
      </c>
      <c r="N13" s="7" t="str">
        <f>IFERROR(VLOOKUP(L13, [2]رواتب!B:S, 5, FALSE), "مش موجود")</f>
        <v>التخطيط</v>
      </c>
      <c r="O13" s="8"/>
      <c r="P13" s="7"/>
      <c r="Q13" s="7">
        <f>_xlfn.XLOOKUP(L13, [1]رواتب!B:B, [1]رواتب!S:S, "")</f>
        <v>7000</v>
      </c>
      <c r="R13" s="9">
        <v>50130</v>
      </c>
    </row>
    <row r="14" spans="11:18" x14ac:dyDescent="0.25">
      <c r="K14" s="10">
        <v>8</v>
      </c>
      <c r="L14" s="11">
        <v>3071</v>
      </c>
      <c r="M14" s="11" t="str">
        <f>IFERROR(VLOOKUP(L14, [2]رواتب!B:S, 6, FALSE), "مش موجود")</f>
        <v>دعاء السيد حمودة محمد حمودة</v>
      </c>
      <c r="N14" s="12" t="str">
        <f>IFERROR(VLOOKUP(L14, [2]رواتب!B:S, 5, FALSE), "مش موجود")</f>
        <v>التجهيز</v>
      </c>
      <c r="O14" s="13"/>
      <c r="P14" s="12"/>
      <c r="Q14" s="12">
        <f>_xlfn.XLOOKUP(L14, [1]رواتب!B:B, [1]رواتب!S:S, "")</f>
        <v>4400</v>
      </c>
      <c r="R14" s="14">
        <v>52142</v>
      </c>
    </row>
    <row r="15" spans="11:18" x14ac:dyDescent="0.25">
      <c r="K15" s="5">
        <v>9</v>
      </c>
      <c r="L15" s="6">
        <v>1006</v>
      </c>
      <c r="M15" s="6" t="str">
        <f>IFERROR(VLOOKUP(L15, [2]رواتب!B:S, 6, FALSE), "مش موجود")</f>
        <v>محمد على على الادهم</v>
      </c>
      <c r="N15" s="7" t="str">
        <f>IFERROR(VLOOKUP(L15, [2]رواتب!B:S, 5, FALSE), "مش موجود")</f>
        <v>الإدارة الفنية</v>
      </c>
      <c r="O15" s="8"/>
      <c r="P15" s="7"/>
      <c r="Q15" s="7">
        <f>_xlfn.XLOOKUP(L15, [1]رواتب!B:B, [1]رواتب!S:S, "")</f>
        <v>11000</v>
      </c>
      <c r="R15" s="9">
        <v>30157</v>
      </c>
    </row>
    <row r="16" spans="11:18" x14ac:dyDescent="0.25">
      <c r="K16" s="10">
        <v>10</v>
      </c>
      <c r="L16" s="11">
        <v>3616</v>
      </c>
      <c r="M16" s="11" t="str">
        <f>IFERROR(VLOOKUP(L16, [2]رواتب!B:S, 6, FALSE), "مش موجود")</f>
        <v>مش موجود</v>
      </c>
      <c r="N16" s="12" t="str">
        <f>IFERROR(VLOOKUP(L16, [2]رواتب!B:S, 5, FALSE), "مش موجود")</f>
        <v>مش موجود</v>
      </c>
      <c r="O16" s="13"/>
      <c r="P16" s="12"/>
      <c r="Q16" s="12" t="str">
        <f>_xlfn.XLOOKUP(L16, [1]رواتب!B:B, [1]رواتب!S:S, "")</f>
        <v/>
      </c>
      <c r="R16" s="14">
        <v>74942</v>
      </c>
    </row>
    <row r="17" spans="11:18" x14ac:dyDescent="0.25">
      <c r="K17" s="5">
        <v>11</v>
      </c>
      <c r="L17" s="6">
        <v>2470</v>
      </c>
      <c r="M17" s="6" t="str">
        <f>IFERROR(VLOOKUP(L17, [2]رواتب!B:S, 6, FALSE), "مش موجود")</f>
        <v>امير محمدين محمد محمد احمد</v>
      </c>
      <c r="N17" s="7" t="str">
        <f>IFERROR(VLOOKUP(L17, [2]رواتب!B:S, 5, FALSE), "مش موجود")</f>
        <v>مخازن</v>
      </c>
      <c r="O17" s="8"/>
      <c r="P17" s="7"/>
      <c r="Q17" s="7">
        <f>_xlfn.XLOOKUP(L17, [1]رواتب!B:B, [1]رواتب!S:S, "")</f>
        <v>8000</v>
      </c>
      <c r="R17" s="9">
        <v>12529</v>
      </c>
    </row>
    <row r="18" spans="11:18" x14ac:dyDescent="0.25">
      <c r="K18" s="10">
        <v>12</v>
      </c>
      <c r="L18" s="11">
        <v>3072</v>
      </c>
      <c r="M18" s="11" t="str">
        <f>IFERROR(VLOOKUP(L18, [2]رواتب!B:S, 6, FALSE), "مش موجود")</f>
        <v>دنيا زغلول علي عبده خلاف</v>
      </c>
      <c r="N18" s="12" t="str">
        <f>IFERROR(VLOOKUP(L18, [2]رواتب!B:S, 5, FALSE), "مش موجود")</f>
        <v>الجودة</v>
      </c>
      <c r="O18" s="13"/>
      <c r="P18" s="12"/>
      <c r="Q18" s="12">
        <f>_xlfn.XLOOKUP(L18, [1]رواتب!B:B, [1]رواتب!S:S, "")</f>
        <v>5500</v>
      </c>
      <c r="R18" s="14">
        <v>73018</v>
      </c>
    </row>
    <row r="19" spans="11:18" x14ac:dyDescent="0.25">
      <c r="K19" s="5">
        <v>13</v>
      </c>
      <c r="L19" s="6">
        <v>1014</v>
      </c>
      <c r="M19" s="6" t="str">
        <f>IFERROR(VLOOKUP(L19, [2]رواتب!B:S, 6, FALSE), "مش موجود")</f>
        <v>محمد حامد على عبد الرحمن</v>
      </c>
      <c r="N19" s="7" t="str">
        <f>IFERROR(VLOOKUP(L19, [2]رواتب!B:S, 5, FALSE), "مش موجود")</f>
        <v>الامن</v>
      </c>
      <c r="O19" s="8"/>
      <c r="P19" s="7"/>
      <c r="Q19" s="7">
        <f>_xlfn.XLOOKUP(L19, [1]رواتب!B:B, [1]رواتب!S:S, "")</f>
        <v>6400</v>
      </c>
      <c r="R19" s="9">
        <v>11053</v>
      </c>
    </row>
    <row r="20" spans="11:18" x14ac:dyDescent="0.25">
      <c r="K20" s="10">
        <v>14</v>
      </c>
      <c r="L20" s="11">
        <v>2571</v>
      </c>
      <c r="M20" s="11" t="str">
        <f>IFERROR(VLOOKUP(L20, [2]رواتب!B:S, 6, FALSE), "مش موجود")</f>
        <v>محمد عزت الطنطاوي غانم</v>
      </c>
      <c r="N20" s="12" t="str">
        <f>IFERROR(VLOOKUP(L20, [2]رواتب!B:S, 5, FALSE), "مش موجود")</f>
        <v>الامن</v>
      </c>
      <c r="O20" s="13"/>
      <c r="P20" s="12"/>
      <c r="Q20" s="12">
        <f>_xlfn.XLOOKUP(L20, [1]رواتب!B:B, [1]رواتب!S:S, "")</f>
        <v>5600</v>
      </c>
      <c r="R20" s="14">
        <v>60090</v>
      </c>
    </row>
    <row r="21" spans="11:18" x14ac:dyDescent="0.25">
      <c r="K21" s="5">
        <v>15</v>
      </c>
      <c r="L21" s="6">
        <v>2574</v>
      </c>
      <c r="M21" s="6" t="str">
        <f>IFERROR(VLOOKUP(L21, [2]رواتب!B:S, 6, FALSE), "مش موجود")</f>
        <v xml:space="preserve">مختار محمد جاد الله </v>
      </c>
      <c r="N21" s="7" t="str">
        <f>IFERROR(VLOOKUP(L21, [2]رواتب!B:S, 5, FALSE), "مش موجود")</f>
        <v>الامن</v>
      </c>
      <c r="O21" s="8"/>
      <c r="P21" s="7"/>
      <c r="Q21" s="7">
        <f>_xlfn.XLOOKUP(L21, [1]رواتب!B:B, [1]رواتب!S:S, "")</f>
        <v>4400</v>
      </c>
      <c r="R21" s="9">
        <v>90415</v>
      </c>
    </row>
    <row r="22" spans="11:18" x14ac:dyDescent="0.25">
      <c r="K22" s="10">
        <v>16</v>
      </c>
      <c r="L22" s="11">
        <v>1012</v>
      </c>
      <c r="M22" s="11" t="str">
        <f>IFERROR(VLOOKUP(L22, [2]رواتب!B:S, 6, FALSE), "مش موجود")</f>
        <v>احمد عبد الحليم ابراهيم على عبده</v>
      </c>
      <c r="N22" s="12" t="str">
        <f>IFERROR(VLOOKUP(L22, [2]رواتب!B:S, 5, FALSE), "مش موجود")</f>
        <v>الامن</v>
      </c>
      <c r="O22" s="13"/>
      <c r="P22" s="12"/>
      <c r="Q22" s="12">
        <f>_xlfn.XLOOKUP(L22, [1]رواتب!B:B, [1]رواتب!S:S, "")</f>
        <v>4400</v>
      </c>
      <c r="R22" s="14">
        <v>17935</v>
      </c>
    </row>
    <row r="23" spans="11:18" x14ac:dyDescent="0.25">
      <c r="K23" s="5">
        <v>17</v>
      </c>
      <c r="L23" s="6">
        <v>1011</v>
      </c>
      <c r="M23" s="6" t="str">
        <f>IFERROR(VLOOKUP(L23, [2]رواتب!B:S, 6, FALSE), "مش موجود")</f>
        <v>مسعد السيد السيد شطا</v>
      </c>
      <c r="N23" s="7" t="str">
        <f>IFERROR(VLOOKUP(L23, [2]رواتب!B:S, 5, FALSE), "مش موجود")</f>
        <v>الامن</v>
      </c>
      <c r="O23" s="8"/>
      <c r="P23" s="7"/>
      <c r="Q23" s="7">
        <f>_xlfn.XLOOKUP(L23, [1]رواتب!B:B, [1]رواتب!S:S, "")</f>
        <v>4200</v>
      </c>
      <c r="R23" s="9">
        <v>61389</v>
      </c>
    </row>
    <row r="24" spans="11:18" x14ac:dyDescent="0.25">
      <c r="K24" s="10">
        <v>18</v>
      </c>
      <c r="L24" s="11">
        <v>1015</v>
      </c>
      <c r="M24" s="11" t="str">
        <f>IFERROR(VLOOKUP(L24, [2]رواتب!B:S, 6, FALSE), "مش موجود")</f>
        <v>نهى محمد محمد ابراهيم</v>
      </c>
      <c r="N24" s="12" t="str">
        <f>IFERROR(VLOOKUP(L24, [2]رواتب!B:S, 5, FALSE), "مش موجود")</f>
        <v>خدمات</v>
      </c>
      <c r="O24" s="13"/>
      <c r="P24" s="12"/>
      <c r="Q24" s="12">
        <f>_xlfn.XLOOKUP(L24, [1]رواتب!B:B, [1]رواتب!S:S, "")</f>
        <v>4400</v>
      </c>
      <c r="R24" s="14">
        <v>69911</v>
      </c>
    </row>
    <row r="25" spans="11:18" x14ac:dyDescent="0.25">
      <c r="K25" s="5">
        <v>19</v>
      </c>
      <c r="L25" s="6">
        <v>1016</v>
      </c>
      <c r="M25" s="6" t="str">
        <f>IFERROR(VLOOKUP(L25, [2]رواتب!B:S, 6, FALSE), "مش موجود")</f>
        <v>ابراهيم على ابراهيم على جادالله</v>
      </c>
      <c r="N25" s="7" t="str">
        <f>IFERROR(VLOOKUP(L25, [2]رواتب!B:S, 5, FALSE), "مش موجود")</f>
        <v>خدمات</v>
      </c>
      <c r="O25" s="8"/>
      <c r="P25" s="7"/>
      <c r="Q25" s="7">
        <f>_xlfn.XLOOKUP(L25, [1]رواتب!B:B, [1]رواتب!S:S, "")</f>
        <v>4600</v>
      </c>
      <c r="R25" s="9">
        <v>79944</v>
      </c>
    </row>
    <row r="26" spans="11:18" x14ac:dyDescent="0.25">
      <c r="K26" s="10">
        <v>20</v>
      </c>
      <c r="L26" s="11">
        <v>2482</v>
      </c>
      <c r="M26" s="11" t="str">
        <f>IFERROR(VLOOKUP(L26, [2]رواتب!B:S, 6, FALSE), "مش موجود")</f>
        <v>سلمى ابراهيم علي النبلاوي</v>
      </c>
      <c r="N26" s="12" t="str">
        <f>IFERROR(VLOOKUP(L26, [2]رواتب!B:S, 5, FALSE), "مش موجود")</f>
        <v>خط الفنيش 1</v>
      </c>
      <c r="O26" s="13"/>
      <c r="P26" s="12"/>
      <c r="Q26" s="12">
        <f>_xlfn.XLOOKUP(L26, [1]رواتب!B:B, [1]رواتب!S:S, "")</f>
        <v>4500</v>
      </c>
      <c r="R26" s="14">
        <v>91123</v>
      </c>
    </row>
    <row r="27" spans="11:18" x14ac:dyDescent="0.25">
      <c r="K27" s="5">
        <v>21</v>
      </c>
      <c r="L27" s="6">
        <v>2079</v>
      </c>
      <c r="M27" s="6" t="str">
        <f>IFERROR(VLOOKUP(L27, [2]رواتب!B:S, 6, FALSE), "مش موجود")</f>
        <v>علي السيد مصطفى شطا</v>
      </c>
      <c r="N27" s="7" t="str">
        <f>IFERROR(VLOOKUP(L27, [2]رواتب!B:S, 5, FALSE), "مش موجود")</f>
        <v>خدمات</v>
      </c>
      <c r="O27" s="8"/>
      <c r="P27" s="7"/>
      <c r="Q27" s="7">
        <f>_xlfn.XLOOKUP(L27, [1]رواتب!B:B, [1]رواتب!S:S, "")</f>
        <v>4400</v>
      </c>
      <c r="R27" s="9">
        <v>17380</v>
      </c>
    </row>
    <row r="28" spans="11:18" x14ac:dyDescent="0.25">
      <c r="K28" s="10">
        <v>22</v>
      </c>
      <c r="L28" s="11">
        <v>3492</v>
      </c>
      <c r="M28" s="11" t="str">
        <f>IFERROR(VLOOKUP(L28, [2]رواتب!B:S, 6, FALSE), "مش موجود")</f>
        <v>اسامة عبدالمحسن محمد حسين</v>
      </c>
      <c r="N28" s="12" t="str">
        <f>IFERROR(VLOOKUP(L28, [2]رواتب!B:S, 5, FALSE), "مش موجود")</f>
        <v>الإدارة</v>
      </c>
      <c r="O28" s="13"/>
      <c r="P28" s="12"/>
      <c r="Q28" s="12">
        <f>_xlfn.XLOOKUP(L28, [1]رواتب!B:B, [1]رواتب!S:S, "")</f>
        <v>15000</v>
      </c>
      <c r="R28" s="14">
        <v>11256</v>
      </c>
    </row>
    <row r="29" spans="11:18" x14ac:dyDescent="0.25">
      <c r="K29" s="5">
        <v>23</v>
      </c>
      <c r="L29" s="6">
        <v>3473</v>
      </c>
      <c r="M29" s="6" t="str">
        <f>IFERROR(VLOOKUP(L29, [2]رواتب!B:S, 6, FALSE), "مش موجود")</f>
        <v>عزة الخضري السيد الجنيدي</v>
      </c>
      <c r="N29" s="7" t="str">
        <f>IFERROR(VLOOKUP(L29, [2]رواتب!B:S, 5, FALSE), "مش موجود")</f>
        <v>نهائي</v>
      </c>
      <c r="O29" s="8"/>
      <c r="P29" s="7"/>
      <c r="Q29" s="7">
        <f>_xlfn.XLOOKUP(L29, [1]رواتب!B:B, [1]رواتب!S:S, "")</f>
        <v>5000</v>
      </c>
      <c r="R29" s="9">
        <v>60523</v>
      </c>
    </row>
    <row r="30" spans="11:18" x14ac:dyDescent="0.25">
      <c r="K30" s="10">
        <v>24</v>
      </c>
      <c r="L30" s="11">
        <v>3253</v>
      </c>
      <c r="M30" s="11" t="str">
        <f>IFERROR(VLOOKUP(L30, [2]رواتب!B:S, 6, FALSE), "مش موجود")</f>
        <v>احمد السيد مسعد عبدالمقصود سالم</v>
      </c>
      <c r="N30" s="12" t="str">
        <f>IFERROR(VLOOKUP(L30, [2]رواتب!B:S, 5, FALSE), "مش موجود")</f>
        <v>خط الصدر 1</v>
      </c>
      <c r="O30" s="13"/>
      <c r="P30" s="12"/>
      <c r="Q30" s="12">
        <f>_xlfn.XLOOKUP(L30, [1]رواتب!B:B, [1]رواتب!S:S, "")</f>
        <v>4600</v>
      </c>
      <c r="R30" s="14">
        <v>81027</v>
      </c>
    </row>
    <row r="31" spans="11:18" x14ac:dyDescent="0.25">
      <c r="K31" s="5">
        <v>25</v>
      </c>
      <c r="L31" s="6">
        <v>3020</v>
      </c>
      <c r="M31" s="6" t="str">
        <f>IFERROR(VLOOKUP(L31, [2]رواتب!B:S, 6, FALSE), "مش موجود")</f>
        <v>ماجدة محمد العربي ابراهيم الدسوقي</v>
      </c>
      <c r="N31" s="7" t="str">
        <f>IFERROR(VLOOKUP(L31, [2]رواتب!B:S, 5, FALSE), "مش موجود")</f>
        <v>التجهيز</v>
      </c>
      <c r="O31" s="8"/>
      <c r="P31" s="7"/>
      <c r="Q31" s="7">
        <f>_xlfn.XLOOKUP(L31, [1]رواتب!B:B, [1]رواتب!S:S, "")</f>
        <v>5000</v>
      </c>
      <c r="R31" s="9">
        <v>93378</v>
      </c>
    </row>
    <row r="32" spans="11:18" x14ac:dyDescent="0.25">
      <c r="K32" s="10">
        <v>26</v>
      </c>
      <c r="L32" s="11">
        <v>2206</v>
      </c>
      <c r="M32" s="11" t="str">
        <f>IFERROR(VLOOKUP(L32, [2]رواتب!B:S, 6, FALSE), "مش موجود")</f>
        <v>ايناس حمدى فتوح شطا</v>
      </c>
      <c r="N32" s="12" t="str">
        <f>IFERROR(VLOOKUP(L32, [2]رواتب!B:S, 5, FALSE), "مش موجود")</f>
        <v>الإدارة الفنية</v>
      </c>
      <c r="O32" s="13"/>
      <c r="P32" s="12"/>
      <c r="Q32" s="12">
        <f>_xlfn.XLOOKUP(L32, [1]رواتب!B:B, [1]رواتب!S:S, "")</f>
        <v>8000</v>
      </c>
      <c r="R32" s="14">
        <v>49122</v>
      </c>
    </row>
    <row r="33" spans="11:18" x14ac:dyDescent="0.25">
      <c r="K33" s="5">
        <v>27</v>
      </c>
      <c r="L33" s="6">
        <v>3076</v>
      </c>
      <c r="M33" s="6" t="str">
        <f>IFERROR(VLOOKUP(L33, [2]رواتب!B:S, 6, FALSE), "مش موجود")</f>
        <v>شيماء زغلول علي عبده خلاف</v>
      </c>
      <c r="N33" s="7" t="str">
        <f>IFERROR(VLOOKUP(L33, [2]رواتب!B:S, 5, FALSE), "مش موجود")</f>
        <v>الجودة</v>
      </c>
      <c r="O33" s="8"/>
      <c r="P33" s="7"/>
      <c r="Q33" s="7">
        <f>_xlfn.XLOOKUP(L33, [1]رواتب!B:B, [1]رواتب!S:S, "")</f>
        <v>5500</v>
      </c>
      <c r="R33" s="9">
        <v>50025</v>
      </c>
    </row>
    <row r="34" spans="11:18" x14ac:dyDescent="0.25">
      <c r="K34" s="10">
        <v>28</v>
      </c>
      <c r="L34" s="11">
        <v>3127</v>
      </c>
      <c r="M34" s="11" t="str">
        <f>IFERROR(VLOOKUP(L34, [2]رواتب!B:S, 6, FALSE), "مش موجود")</f>
        <v>نورا عبده محمد علي الهمشري</v>
      </c>
      <c r="N34" s="12" t="str">
        <f>IFERROR(VLOOKUP(L34, [2]رواتب!B:S, 5, FALSE), "مش موجود")</f>
        <v>التجهيز</v>
      </c>
      <c r="O34" s="13"/>
      <c r="P34" s="12"/>
      <c r="Q34" s="12">
        <f>_xlfn.XLOOKUP(L34, [1]رواتب!B:B, [1]رواتب!S:S, "")</f>
        <v>4500</v>
      </c>
      <c r="R34" s="14">
        <v>47462</v>
      </c>
    </row>
    <row r="35" spans="11:18" x14ac:dyDescent="0.25">
      <c r="K35" s="5">
        <v>29</v>
      </c>
      <c r="L35" s="6">
        <v>3615</v>
      </c>
      <c r="M35" s="6" t="str">
        <f>IFERROR(VLOOKUP(L35, [2]رواتب!B:S, 6, FALSE), "مش موجود")</f>
        <v>مش موجود</v>
      </c>
      <c r="N35" s="7" t="str">
        <f>IFERROR(VLOOKUP(L35, [2]رواتب!B:S, 5, FALSE), "مش موجود")</f>
        <v>مش موجود</v>
      </c>
      <c r="O35" s="8"/>
      <c r="P35" s="7"/>
      <c r="Q35" s="7" t="str">
        <f>_xlfn.XLOOKUP(L35, [1]رواتب!B:B, [1]رواتب!S:S, "")</f>
        <v/>
      </c>
      <c r="R35" s="9">
        <v>87903</v>
      </c>
    </row>
    <row r="36" spans="11:18" x14ac:dyDescent="0.25">
      <c r="K36" s="10">
        <v>30</v>
      </c>
      <c r="L36" s="11">
        <v>3598</v>
      </c>
      <c r="M36" s="11" t="str">
        <f>IFERROR(VLOOKUP(L36, [2]رواتب!B:S, 6, FALSE), "مش موجود")</f>
        <v xml:space="preserve">فارس احمد الجرايحي اسماعيل محمد </v>
      </c>
      <c r="N36" s="12" t="str">
        <f>IFERROR(VLOOKUP(L36, [2]رواتب!B:S, 5, FALSE), "مش موجود")</f>
        <v>خط الصدر 1</v>
      </c>
      <c r="O36" s="13"/>
      <c r="P36" s="12"/>
      <c r="Q36" s="12">
        <f>_xlfn.XLOOKUP(L36, [1]رواتب!B:B, [1]رواتب!S:S, "")</f>
        <v>6000</v>
      </c>
      <c r="R36" s="14">
        <v>73867</v>
      </c>
    </row>
    <row r="37" spans="11:18" x14ac:dyDescent="0.25">
      <c r="K37" s="5">
        <v>31</v>
      </c>
      <c r="L37" s="6">
        <v>3445</v>
      </c>
      <c r="M37" s="6" t="str">
        <f>IFERROR(VLOOKUP(L37, [2]رواتب!B:S, 6, FALSE), "مش موجود")</f>
        <v>ندى محمد الدسوقي فؤاد البدوي</v>
      </c>
      <c r="N37" s="7" t="str">
        <f>IFERROR(VLOOKUP(L37, [2]رواتب!B:S, 5, FALSE), "مش موجود")</f>
        <v>نهائي</v>
      </c>
      <c r="O37" s="8"/>
      <c r="P37" s="7"/>
      <c r="Q37" s="7">
        <f>_xlfn.XLOOKUP(L37, [1]رواتب!B:B, [1]رواتب!S:S, "")</f>
        <v>4500</v>
      </c>
      <c r="R37" s="9">
        <v>92745</v>
      </c>
    </row>
    <row r="38" spans="11:18" x14ac:dyDescent="0.25">
      <c r="K38" s="10">
        <v>32</v>
      </c>
      <c r="L38" s="11">
        <v>2247</v>
      </c>
      <c r="M38" s="11" t="str">
        <f>IFERROR(VLOOKUP(L38, [2]رواتب!B:S, 6, FALSE), "مش موجود")</f>
        <v xml:space="preserve">السعيد السعيد محمد خليل </v>
      </c>
      <c r="N38" s="12" t="str">
        <f>IFERROR(VLOOKUP(L38, [2]رواتب!B:S, 5, FALSE), "مش موجود")</f>
        <v>الجودة</v>
      </c>
      <c r="O38" s="13"/>
      <c r="P38" s="12"/>
      <c r="Q38" s="12">
        <f>_xlfn.XLOOKUP(L38, [1]رواتب!B:B, [1]رواتب!S:S, "")</f>
        <v>10000</v>
      </c>
      <c r="R38" s="14">
        <v>19299</v>
      </c>
    </row>
    <row r="39" spans="11:18" x14ac:dyDescent="0.25">
      <c r="K39" s="5">
        <v>33</v>
      </c>
      <c r="L39" s="6">
        <v>3409</v>
      </c>
      <c r="M39" s="6" t="str">
        <f>IFERROR(VLOOKUP(L39, [2]رواتب!B:S, 6, FALSE), "مش موجود")</f>
        <v>منة الله عبده محمد حسن</v>
      </c>
      <c r="N39" s="7" t="str">
        <f>IFERROR(VLOOKUP(L39, [2]رواتب!B:S, 5, FALSE), "مش موجود")</f>
        <v>نهائي</v>
      </c>
      <c r="O39" s="8"/>
      <c r="P39" s="7"/>
      <c r="Q39" s="7">
        <f>_xlfn.XLOOKUP(L39, [1]رواتب!B:B, [1]رواتب!S:S, "")</f>
        <v>4500</v>
      </c>
      <c r="R39" s="9">
        <v>11552</v>
      </c>
    </row>
    <row r="40" spans="11:18" x14ac:dyDescent="0.25">
      <c r="K40" s="10">
        <v>34</v>
      </c>
      <c r="L40" s="11">
        <v>3304</v>
      </c>
      <c r="M40" s="11" t="str">
        <f>IFERROR(VLOOKUP(L40, [2]رواتب!B:S, 6, FALSE), "مش موجود")</f>
        <v>مش موجود</v>
      </c>
      <c r="N40" s="12" t="str">
        <f>IFERROR(VLOOKUP(L40, [2]رواتب!B:S, 5, FALSE), "مش موجود")</f>
        <v>مش موجود</v>
      </c>
      <c r="O40" s="13"/>
      <c r="P40" s="12"/>
      <c r="Q40" s="12" t="str">
        <f>_xlfn.XLOOKUP(L40, [1]رواتب!B:B, [1]رواتب!S:S, "")</f>
        <v/>
      </c>
      <c r="R40" s="14">
        <v>45739</v>
      </c>
    </row>
    <row r="41" spans="11:18" x14ac:dyDescent="0.25">
      <c r="K41" s="5">
        <v>35</v>
      </c>
      <c r="L41" s="6">
        <v>2076</v>
      </c>
      <c r="M41" s="6" t="str">
        <f>IFERROR(VLOOKUP(L41, [2]رواتب!B:S, 6, FALSE), "مش موجود")</f>
        <v>منة الله حامد محمود</v>
      </c>
      <c r="N41" s="7" t="str">
        <f>IFERROR(VLOOKUP(L41, [2]رواتب!B:S, 5, FALSE), "مش موجود")</f>
        <v>عراوي</v>
      </c>
      <c r="O41" s="8"/>
      <c r="P41" s="7"/>
      <c r="Q41" s="7">
        <f>_xlfn.XLOOKUP(L41, [1]رواتب!B:B, [1]رواتب!S:S, "")</f>
        <v>7400</v>
      </c>
      <c r="R41" s="9">
        <v>50535</v>
      </c>
    </row>
    <row r="42" spans="11:18" x14ac:dyDescent="0.25">
      <c r="K42" s="10">
        <v>36</v>
      </c>
      <c r="L42" s="11">
        <v>3383</v>
      </c>
      <c r="M42" s="11" t="str">
        <f>IFERROR(VLOOKUP(L42, [2]رواتب!B:S, 6, FALSE), "مش موجود")</f>
        <v>اسماء احمد هاشم البلاسي</v>
      </c>
      <c r="N42" s="12" t="str">
        <f>IFERROR(VLOOKUP(L42, [2]رواتب!B:S, 5, FALSE), "مش موجود")</f>
        <v>الإدارة</v>
      </c>
      <c r="O42" s="13"/>
      <c r="P42" s="12"/>
      <c r="Q42" s="12">
        <f>_xlfn.XLOOKUP(L42, [1]رواتب!B:B, [1]رواتب!S:S, "")</f>
        <v>4000</v>
      </c>
      <c r="R42" s="14">
        <v>26845</v>
      </c>
    </row>
    <row r="43" spans="11:18" x14ac:dyDescent="0.25">
      <c r="K43" s="5">
        <v>37</v>
      </c>
      <c r="L43" s="6">
        <v>3023</v>
      </c>
      <c r="M43" s="6" t="str">
        <f>IFERROR(VLOOKUP(L43, [2]رواتب!B:S, 6, FALSE), "مش موجود")</f>
        <v>منه زغلول عبده جمال اسماعيل</v>
      </c>
      <c r="N43" s="7" t="str">
        <f>IFERROR(VLOOKUP(L43, [2]رواتب!B:S, 5, FALSE), "مش موجود")</f>
        <v>نهائي</v>
      </c>
      <c r="O43" s="8"/>
      <c r="P43" s="7"/>
      <c r="Q43" s="7">
        <f>_xlfn.XLOOKUP(L43, [1]رواتب!B:B, [1]رواتب!S:S, "")</f>
        <v>4500</v>
      </c>
      <c r="R43" s="9">
        <v>74515</v>
      </c>
    </row>
    <row r="44" spans="11:18" x14ac:dyDescent="0.25">
      <c r="K44" s="10">
        <v>38</v>
      </c>
      <c r="L44" s="11">
        <v>3036</v>
      </c>
      <c r="M44" s="11" t="str">
        <f>IFERROR(VLOOKUP(L44, [2]رواتب!B:S, 6, FALSE), "مش موجود")</f>
        <v>اسماء السيد احمد عبدالصادق</v>
      </c>
      <c r="N44" s="12" t="str">
        <f>IFERROR(VLOOKUP(L44, [2]رواتب!B:S, 5, FALSE), "مش موجود")</f>
        <v>خط الصدر 1</v>
      </c>
      <c r="O44" s="13"/>
      <c r="P44" s="12"/>
      <c r="Q44" s="12">
        <f>_xlfn.XLOOKUP(L44, [1]رواتب!B:B, [1]رواتب!S:S, "")</f>
        <v>5500</v>
      </c>
      <c r="R44" s="14">
        <v>42480</v>
      </c>
    </row>
    <row r="45" spans="11:18" x14ac:dyDescent="0.25">
      <c r="K45" s="5">
        <v>39</v>
      </c>
      <c r="L45" s="6">
        <v>1004</v>
      </c>
      <c r="M45" s="6" t="str">
        <f>IFERROR(VLOOKUP(L45, [2]رواتب!B:S, 6, FALSE), "مش موجود")</f>
        <v>محمود عمر عبدالرحمن</v>
      </c>
      <c r="N45" s="7" t="str">
        <f>IFERROR(VLOOKUP(L45, [2]رواتب!B:S, 5, FALSE), "مش موجود")</f>
        <v>الإدارة الفنية</v>
      </c>
      <c r="O45" s="8"/>
      <c r="P45" s="7"/>
      <c r="Q45" s="7">
        <f>_xlfn.XLOOKUP(L45, [1]رواتب!B:B, [1]رواتب!S:S, "")</f>
        <v>9000</v>
      </c>
      <c r="R45" s="9">
        <v>74130</v>
      </c>
    </row>
    <row r="46" spans="11:18" x14ac:dyDescent="0.25">
      <c r="K46" s="10">
        <v>40</v>
      </c>
      <c r="L46" s="11">
        <v>3255</v>
      </c>
      <c r="M46" s="11" t="str">
        <f>IFERROR(VLOOKUP(L46, [2]رواتب!B:S, 6, FALSE), "مش موجود")</f>
        <v>محمد نصر علي محمد سيد احمد</v>
      </c>
      <c r="N46" s="12" t="str">
        <f>IFERROR(VLOOKUP(L46, [2]رواتب!B:S, 5, FALSE), "مش موجود")</f>
        <v>المكواه</v>
      </c>
      <c r="O46" s="13"/>
      <c r="P46" s="12"/>
      <c r="Q46" s="12">
        <f>_xlfn.XLOOKUP(L46, [1]رواتب!B:B, [1]رواتب!S:S, "")</f>
        <v>4450</v>
      </c>
      <c r="R46" s="14">
        <v>61907</v>
      </c>
    </row>
    <row r="47" spans="11:18" x14ac:dyDescent="0.25">
      <c r="K47" s="5">
        <v>41</v>
      </c>
      <c r="L47" s="6">
        <v>2174</v>
      </c>
      <c r="M47" s="6" t="str">
        <f>IFERROR(VLOOKUP(L47, [2]رواتب!B:S, 6, FALSE), "مش موجود")</f>
        <v>اسلام احمد شطا</v>
      </c>
      <c r="N47" s="7" t="str">
        <f>IFERROR(VLOOKUP(L47, [2]رواتب!B:S, 5, FALSE), "مش موجود")</f>
        <v>الصيانة</v>
      </c>
      <c r="O47" s="8"/>
      <c r="P47" s="7"/>
      <c r="Q47" s="7">
        <f>_xlfn.XLOOKUP(L47, [1]رواتب!B:B, [1]رواتب!S:S, "")</f>
        <v>13000</v>
      </c>
      <c r="R47" s="9">
        <v>76924</v>
      </c>
    </row>
    <row r="48" spans="11:18" x14ac:dyDescent="0.25">
      <c r="K48" s="10">
        <v>42</v>
      </c>
      <c r="L48" s="11">
        <v>2166</v>
      </c>
      <c r="M48" s="11" t="str">
        <f>IFERROR(VLOOKUP(L48, [2]رواتب!B:S, 6, FALSE), "مش موجود")</f>
        <v>اسلام محمد ابو المعاطي الزلاط</v>
      </c>
      <c r="N48" s="12" t="str">
        <f>IFERROR(VLOOKUP(L48, [2]رواتب!B:S, 5, FALSE), "مش موجود")</f>
        <v>نهائي</v>
      </c>
      <c r="O48" s="13"/>
      <c r="P48" s="12"/>
      <c r="Q48" s="12">
        <f>_xlfn.XLOOKUP(L48, [1]رواتب!B:B, [1]رواتب!S:S, "")</f>
        <v>7500</v>
      </c>
      <c r="R48" s="14">
        <v>74895</v>
      </c>
    </row>
    <row r="49" spans="11:18" x14ac:dyDescent="0.25">
      <c r="K49" s="5">
        <v>43</v>
      </c>
      <c r="L49" s="6">
        <v>2205</v>
      </c>
      <c r="M49" s="6" t="str">
        <f>IFERROR(VLOOKUP(L49, [2]رواتب!B:S, 6, FALSE), "مش موجود")</f>
        <v>على محمود السيد علي منسى</v>
      </c>
      <c r="N49" s="7" t="str">
        <f>IFERROR(VLOOKUP(L49, [2]رواتب!B:S, 5, FALSE), "مش موجود")</f>
        <v>خط الصدر 2</v>
      </c>
      <c r="O49" s="8"/>
      <c r="P49" s="7"/>
      <c r="Q49" s="7">
        <f>_xlfn.XLOOKUP(L49, [1]رواتب!B:B, [1]رواتب!S:S, "")</f>
        <v>6000</v>
      </c>
      <c r="R49" s="9">
        <v>43958</v>
      </c>
    </row>
    <row r="50" spans="11:18" x14ac:dyDescent="0.25">
      <c r="K50" s="10">
        <v>44</v>
      </c>
      <c r="L50" s="11">
        <v>3600</v>
      </c>
      <c r="M50" s="11" t="str">
        <f>IFERROR(VLOOKUP(L50, [2]رواتب!B:S, 6, FALSE), "مش موجود")</f>
        <v>منتصر البلاسي كمال البلاسي صقر</v>
      </c>
      <c r="N50" s="12" t="str">
        <f>IFERROR(VLOOKUP(L50, [2]رواتب!B:S, 5, FALSE), "مش موجود")</f>
        <v>خط الفنيش 2</v>
      </c>
      <c r="O50" s="13"/>
      <c r="P50" s="12"/>
      <c r="Q50" s="12">
        <f>_xlfn.XLOOKUP(L50, [1]رواتب!B:B, [1]رواتب!S:S, "")</f>
        <v>4000</v>
      </c>
      <c r="R50" s="14">
        <v>16331</v>
      </c>
    </row>
    <row r="51" spans="11:18" x14ac:dyDescent="0.25">
      <c r="K51" s="5">
        <v>45</v>
      </c>
      <c r="L51" s="6">
        <v>3572</v>
      </c>
      <c r="M51" s="6" t="str">
        <f>IFERROR(VLOOKUP(L51, [2]رواتب!B:S, 6, FALSE), "مش موجود")</f>
        <v>سمر محمد السيد محمد الحطيني</v>
      </c>
      <c r="N51" s="7" t="str">
        <f>IFERROR(VLOOKUP(L51, [2]رواتب!B:S, 5, FALSE), "مش موجود")</f>
        <v>خط الفنيش 1</v>
      </c>
      <c r="O51" s="8"/>
      <c r="P51" s="7"/>
      <c r="Q51" s="7">
        <f>_xlfn.XLOOKUP(L51, [1]رواتب!B:B, [1]رواتب!S:S, "")</f>
        <v>6000</v>
      </c>
      <c r="R51" s="9">
        <v>39865</v>
      </c>
    </row>
    <row r="52" spans="11:18" x14ac:dyDescent="0.25">
      <c r="K52" s="10">
        <v>46</v>
      </c>
      <c r="L52" s="11">
        <v>2741</v>
      </c>
      <c r="M52" s="11" t="str">
        <f>IFERROR(VLOOKUP(L52, [2]رواتب!B:S, 6, FALSE), "مش موجود")</f>
        <v>فاطمة فايز زكريا سليمان هلهول</v>
      </c>
      <c r="N52" s="12" t="str">
        <f>IFERROR(VLOOKUP(L52, [2]رواتب!B:S, 5, FALSE), "مش موجود")</f>
        <v>الجودة</v>
      </c>
      <c r="O52" s="13"/>
      <c r="P52" s="12"/>
      <c r="Q52" s="12">
        <f>_xlfn.XLOOKUP(L52, [1]رواتب!B:B, [1]رواتب!S:S, "")</f>
        <v>6800</v>
      </c>
      <c r="R52" s="14">
        <v>38026</v>
      </c>
    </row>
    <row r="53" spans="11:18" x14ac:dyDescent="0.25">
      <c r="K53" s="5">
        <v>47</v>
      </c>
      <c r="L53" s="6">
        <v>1057</v>
      </c>
      <c r="M53" s="6" t="str">
        <f>IFERROR(VLOOKUP(L53, [2]رواتب!B:S, 6, FALSE), "مش موجود")</f>
        <v>احمد احمد المتولى احمد سالم</v>
      </c>
      <c r="N53" s="7" t="str">
        <f>IFERROR(VLOOKUP(L53, [2]رواتب!B:S, 5, FALSE), "مش موجود")</f>
        <v>القص</v>
      </c>
      <c r="O53" s="8"/>
      <c r="P53" s="7"/>
      <c r="Q53" s="7">
        <f>_xlfn.XLOOKUP(L53, [1]رواتب!B:B, [1]رواتب!S:S, "")</f>
        <v>10000</v>
      </c>
      <c r="R53" s="9">
        <v>46863</v>
      </c>
    </row>
    <row r="54" spans="11:18" x14ac:dyDescent="0.25">
      <c r="K54" s="10">
        <v>48</v>
      </c>
      <c r="L54" s="11">
        <v>1058</v>
      </c>
      <c r="M54" s="11" t="str">
        <f>IFERROR(VLOOKUP(L54, [2]رواتب!B:S, 6, FALSE), "مش موجود")</f>
        <v>محمد منجد عبده عبد المقصود</v>
      </c>
      <c r="N54" s="12" t="str">
        <f>IFERROR(VLOOKUP(L54, [2]رواتب!B:S, 5, FALSE), "مش موجود")</f>
        <v>القص</v>
      </c>
      <c r="O54" s="13"/>
      <c r="P54" s="12"/>
      <c r="Q54" s="12">
        <f>_xlfn.XLOOKUP(L54, [1]رواتب!B:B, [1]رواتب!S:S, "")</f>
        <v>9000</v>
      </c>
      <c r="R54" s="14">
        <v>26122</v>
      </c>
    </row>
    <row r="55" spans="11:18" x14ac:dyDescent="0.25">
      <c r="K55" s="5">
        <v>49</v>
      </c>
      <c r="L55" s="6">
        <v>3283</v>
      </c>
      <c r="M55" s="6" t="str">
        <f>IFERROR(VLOOKUP(L55, [2]رواتب!B:S, 6, FALSE), "مش موجود")</f>
        <v>حنان احمد السيد محمد</v>
      </c>
      <c r="N55" s="7" t="str">
        <f>IFERROR(VLOOKUP(L55, [2]رواتب!B:S, 5, FALSE), "مش موجود")</f>
        <v>خط الصدر 1</v>
      </c>
      <c r="O55" s="8"/>
      <c r="P55" s="7"/>
      <c r="Q55" s="7">
        <f>_xlfn.XLOOKUP(L55, [1]رواتب!B:B, [1]رواتب!S:S, "")</f>
        <v>4000</v>
      </c>
      <c r="R55" s="9">
        <v>70045</v>
      </c>
    </row>
    <row r="56" spans="11:18" x14ac:dyDescent="0.25">
      <c r="K56" s="10">
        <v>50</v>
      </c>
      <c r="L56" s="11">
        <v>2504</v>
      </c>
      <c r="M56" s="11" t="str">
        <f>IFERROR(VLOOKUP(L56, [2]رواتب!B:S, 6, FALSE), "مش موجود")</f>
        <v>احمد محمد السيد السيد منسي</v>
      </c>
      <c r="N56" s="12" t="str">
        <f>IFERROR(VLOOKUP(L56, [2]رواتب!B:S, 5, FALSE), "مش موجود")</f>
        <v>التشطيب</v>
      </c>
      <c r="O56" s="13"/>
      <c r="P56" s="12"/>
      <c r="Q56" s="12">
        <f>_xlfn.XLOOKUP(L56, [1]رواتب!B:B, [1]رواتب!S:S, "")</f>
        <v>7500</v>
      </c>
      <c r="R56" s="14">
        <v>90142</v>
      </c>
    </row>
    <row r="57" spans="11:18" x14ac:dyDescent="0.25">
      <c r="K57" s="5">
        <v>51</v>
      </c>
      <c r="L57" s="6">
        <v>35</v>
      </c>
      <c r="M57" s="6" t="str">
        <f>IFERROR(VLOOKUP(L57, [2]رواتب!B:S, 6, FALSE), "مش موجود")</f>
        <v>منه عبده احمد نوفل</v>
      </c>
      <c r="N57" s="7" t="str">
        <f>IFERROR(VLOOKUP(L57, [2]رواتب!B:S, 5, FALSE), "مش موجود")</f>
        <v>القص</v>
      </c>
      <c r="O57" s="8"/>
      <c r="P57" s="7"/>
      <c r="Q57" s="7">
        <f>_xlfn.XLOOKUP(L57, [1]رواتب!B:B, [1]رواتب!S:S, "")</f>
        <v>6000</v>
      </c>
      <c r="R57" s="9">
        <v>82842</v>
      </c>
    </row>
    <row r="58" spans="11:18" x14ac:dyDescent="0.25">
      <c r="K58" s="10">
        <v>52</v>
      </c>
      <c r="L58" s="11">
        <v>2463</v>
      </c>
      <c r="M58" s="11" t="str">
        <f>IFERROR(VLOOKUP(L58, [2]رواتب!B:S, 6, FALSE), "مش موجود")</f>
        <v>محمد فاروق احمد لطفي حسن</v>
      </c>
      <c r="N58" s="12" t="str">
        <f>IFERROR(VLOOKUP(L58, [2]رواتب!B:S, 5, FALSE), "مش موجود")</f>
        <v>مخازن</v>
      </c>
      <c r="O58" s="13"/>
      <c r="P58" s="12"/>
      <c r="Q58" s="12">
        <f>_xlfn.XLOOKUP(L58, [1]رواتب!B:B, [1]رواتب!S:S, "")</f>
        <v>6000</v>
      </c>
      <c r="R58" s="14">
        <v>35836</v>
      </c>
    </row>
    <row r="59" spans="11:18" x14ac:dyDescent="0.25">
      <c r="K59" s="5">
        <v>53</v>
      </c>
      <c r="L59" s="6">
        <v>3284</v>
      </c>
      <c r="M59" s="6" t="str">
        <f>IFERROR(VLOOKUP(L59, [2]رواتب!B:S, 6, FALSE), "مش موجود")</f>
        <v>محمود محمد عبدالمطلب ابراهيم</v>
      </c>
      <c r="N59" s="7" t="str">
        <f>IFERROR(VLOOKUP(L59, [2]رواتب!B:S, 5, FALSE), "مش موجود")</f>
        <v>خط الظهر 1</v>
      </c>
      <c r="O59" s="8"/>
      <c r="P59" s="7"/>
      <c r="Q59" s="7">
        <f>_xlfn.XLOOKUP(L59, [1]رواتب!B:B, [1]رواتب!S:S, "")</f>
        <v>3800</v>
      </c>
      <c r="R59" s="9">
        <v>62208</v>
      </c>
    </row>
    <row r="60" spans="11:18" x14ac:dyDescent="0.25">
      <c r="K60" s="10">
        <v>54</v>
      </c>
      <c r="L60" s="11">
        <v>2626</v>
      </c>
      <c r="M60" s="11" t="str">
        <f>IFERROR(VLOOKUP(L60, [2]رواتب!B:S, 6, FALSE), "مش موجود")</f>
        <v>شروق السيد محمد السيد</v>
      </c>
      <c r="N60" s="12" t="str">
        <f>IFERROR(VLOOKUP(L60, [2]رواتب!B:S, 5, FALSE), "مش موجود")</f>
        <v>التجهيز</v>
      </c>
      <c r="O60" s="13"/>
      <c r="P60" s="12"/>
      <c r="Q60" s="12">
        <f>_xlfn.XLOOKUP(L60, [1]رواتب!B:B, [1]رواتب!S:S, "")</f>
        <v>6500</v>
      </c>
      <c r="R60" s="14">
        <v>48751</v>
      </c>
    </row>
    <row r="61" spans="11:18" x14ac:dyDescent="0.25">
      <c r="K61" s="5">
        <v>55</v>
      </c>
      <c r="L61" s="6">
        <v>3578</v>
      </c>
      <c r="M61" s="6" t="str">
        <f>IFERROR(VLOOKUP(L61, [2]رواتب!B:S, 6, FALSE), "مش موجود")</f>
        <v>محمد محمد سيد احمد نجم سيد احمد</v>
      </c>
      <c r="N61" s="7" t="str">
        <f>IFERROR(VLOOKUP(L61, [2]رواتب!B:S, 5, FALSE), "مش موجود")</f>
        <v>القص</v>
      </c>
      <c r="O61" s="8"/>
      <c r="P61" s="7"/>
      <c r="Q61" s="7">
        <f>_xlfn.XLOOKUP(L61, [1]رواتب!B:B, [1]رواتب!S:S, "")</f>
        <v>10000</v>
      </c>
      <c r="R61" s="9">
        <v>70282</v>
      </c>
    </row>
    <row r="62" spans="11:18" x14ac:dyDescent="0.25">
      <c r="K62" s="10">
        <v>56</v>
      </c>
      <c r="L62" s="11">
        <v>2461</v>
      </c>
      <c r="M62" s="11" t="str">
        <f>IFERROR(VLOOKUP(L62, [2]رواتب!B:S, 6, FALSE), "مش موجود")</f>
        <v xml:space="preserve">حمدي احمد احمد مقبل خليل </v>
      </c>
      <c r="N62" s="12" t="str">
        <f>IFERROR(VLOOKUP(L62, [2]رواتب!B:S, 5, FALSE), "مش موجود")</f>
        <v>القص</v>
      </c>
      <c r="O62" s="13"/>
      <c r="P62" s="12"/>
      <c r="Q62" s="12">
        <f>_xlfn.XLOOKUP(L62, [1]رواتب!B:B, [1]رواتب!S:S, "")</f>
        <v>5500</v>
      </c>
      <c r="R62" s="14">
        <v>89385</v>
      </c>
    </row>
    <row r="63" spans="11:18" x14ac:dyDescent="0.25">
      <c r="K63" s="5">
        <v>57</v>
      </c>
      <c r="L63" s="6">
        <v>3007</v>
      </c>
      <c r="M63" s="6" t="str">
        <f>IFERROR(VLOOKUP(L63, [2]رواتب!B:S, 6, FALSE), "مش موجود")</f>
        <v>جيهان محمد فهمي شمس الدين</v>
      </c>
      <c r="N63" s="7" t="str">
        <f>IFERROR(VLOOKUP(L63, [2]رواتب!B:S, 5, FALSE), "مش موجود")</f>
        <v>خط الظهر 3</v>
      </c>
      <c r="O63" s="8"/>
      <c r="P63" s="7"/>
      <c r="Q63" s="7">
        <f>_xlfn.XLOOKUP(L63, [1]رواتب!B:B, [1]رواتب!S:S, "")</f>
        <v>4100</v>
      </c>
      <c r="R63" s="9">
        <v>57591</v>
      </c>
    </row>
    <row r="64" spans="11:18" x14ac:dyDescent="0.25">
      <c r="K64" s="10">
        <v>58</v>
      </c>
      <c r="L64" s="11">
        <v>3194</v>
      </c>
      <c r="M64" s="11" t="str">
        <f>IFERROR(VLOOKUP(L64, [2]رواتب!B:S, 6, FALSE), "مش موجود")</f>
        <v>رحمة محمود احمد الجنيدي</v>
      </c>
      <c r="N64" s="12" t="str">
        <f>IFERROR(VLOOKUP(L64, [2]رواتب!B:S, 5, FALSE), "مش موجود")</f>
        <v>نهائي</v>
      </c>
      <c r="O64" s="13"/>
      <c r="P64" s="12"/>
      <c r="Q64" s="12">
        <f>_xlfn.XLOOKUP(L64, [1]رواتب!B:B, [1]رواتب!S:S, "")</f>
        <v>4800</v>
      </c>
      <c r="R64" s="14">
        <v>21875</v>
      </c>
    </row>
    <row r="65" spans="11:18" x14ac:dyDescent="0.25">
      <c r="K65" s="5">
        <v>59</v>
      </c>
      <c r="L65" s="6">
        <v>3601</v>
      </c>
      <c r="M65" s="6" t="str">
        <f>IFERROR(VLOOKUP(L65, [2]رواتب!B:S, 6, FALSE), "مش موجود")</f>
        <v>عواطف احمد محمد محمد سيد احمد</v>
      </c>
      <c r="N65" s="7" t="str">
        <f>IFERROR(VLOOKUP(L65, [2]رواتب!B:S, 5, FALSE), "مش موجود")</f>
        <v>خط الفنيش 2</v>
      </c>
      <c r="O65" s="8"/>
      <c r="P65" s="7"/>
      <c r="Q65" s="7">
        <f>_xlfn.XLOOKUP(L65, [1]رواتب!B:B, [1]رواتب!S:S, "")</f>
        <v>3500</v>
      </c>
      <c r="R65" s="9">
        <v>46561</v>
      </c>
    </row>
    <row r="66" spans="11:18" x14ac:dyDescent="0.25">
      <c r="K66" s="10">
        <v>60</v>
      </c>
      <c r="L66" s="11">
        <v>3112</v>
      </c>
      <c r="M66" s="11" t="str">
        <f>IFERROR(VLOOKUP(L66, [2]رواتب!B:S, 6, FALSE), "مش موجود")</f>
        <v>رضا محمد علي تمراز الكناني</v>
      </c>
      <c r="N66" s="12" t="str">
        <f>IFERROR(VLOOKUP(L66, [2]رواتب!B:S, 5, FALSE), "مش موجود")</f>
        <v>خط الفنيش 2</v>
      </c>
      <c r="O66" s="13"/>
      <c r="P66" s="12"/>
      <c r="Q66" s="12">
        <f>_xlfn.XLOOKUP(L66, [1]رواتب!B:B, [1]رواتب!S:S, "")</f>
        <v>7200</v>
      </c>
      <c r="R66" s="14">
        <v>15961</v>
      </c>
    </row>
    <row r="67" spans="11:18" x14ac:dyDescent="0.25">
      <c r="K67" s="5">
        <v>61</v>
      </c>
      <c r="L67" s="6">
        <v>3602</v>
      </c>
      <c r="M67" s="6" t="str">
        <f>IFERROR(VLOOKUP(L67, [2]رواتب!B:S, 6, FALSE), "مش موجود")</f>
        <v>شيماء شحاتة حمدي محمد احمد</v>
      </c>
      <c r="N67" s="7" t="str">
        <f>IFERROR(VLOOKUP(L67, [2]رواتب!B:S, 5, FALSE), "مش موجود")</f>
        <v>خط الفنيش 3</v>
      </c>
      <c r="O67" s="8"/>
      <c r="P67" s="7"/>
      <c r="Q67" s="7">
        <f>_xlfn.XLOOKUP(L67, [1]رواتب!B:B, [1]رواتب!S:S, "")</f>
        <v>3500</v>
      </c>
      <c r="R67" s="9">
        <v>94562</v>
      </c>
    </row>
    <row r="68" spans="11:18" x14ac:dyDescent="0.25">
      <c r="K68" s="10">
        <v>62</v>
      </c>
      <c r="L68" s="11">
        <v>2217</v>
      </c>
      <c r="M68" s="11" t="str">
        <f>IFERROR(VLOOKUP(L68, [2]رواتب!B:S, 6, FALSE), "مش موجود")</f>
        <v>مختار احمد مختار</v>
      </c>
      <c r="N68" s="12" t="str">
        <f>IFERROR(VLOOKUP(L68, [2]رواتب!B:S, 5, FALSE), "مش موجود")</f>
        <v>خط الفنيش 3</v>
      </c>
      <c r="O68" s="13"/>
      <c r="P68" s="12"/>
      <c r="Q68" s="12">
        <f>_xlfn.XLOOKUP(L68, [1]رواتب!B:B, [1]رواتب!S:S, "")</f>
        <v>6500</v>
      </c>
      <c r="R68" s="14">
        <v>20133</v>
      </c>
    </row>
    <row r="69" spans="11:18" x14ac:dyDescent="0.25">
      <c r="K69" s="5">
        <v>63</v>
      </c>
      <c r="L69" s="6">
        <v>3275</v>
      </c>
      <c r="M69" s="6" t="str">
        <f>IFERROR(VLOOKUP(L69, [2]رواتب!B:S, 6, FALSE), "مش موجود")</f>
        <v>احمد محمد ابو العينين السيد</v>
      </c>
      <c r="N69" s="7" t="str">
        <f>IFERROR(VLOOKUP(L69, [2]رواتب!B:S, 5, FALSE), "مش موجود")</f>
        <v>خط الظهر 1</v>
      </c>
      <c r="O69" s="8"/>
      <c r="P69" s="7"/>
      <c r="Q69" s="7">
        <f>_xlfn.XLOOKUP(L69, [1]رواتب!B:B, [1]رواتب!S:S, "")</f>
        <v>4500</v>
      </c>
      <c r="R69" s="9">
        <v>14213</v>
      </c>
    </row>
    <row r="70" spans="11:18" x14ac:dyDescent="0.25">
      <c r="K70" s="10">
        <v>64</v>
      </c>
      <c r="L70" s="11">
        <v>2717</v>
      </c>
      <c r="M70" s="11" t="str">
        <f>IFERROR(VLOOKUP(L70, [2]رواتب!B:S, 6, FALSE), "مش موجود")</f>
        <v>سماح محمد عبدالله محمد</v>
      </c>
      <c r="N70" s="12" t="str">
        <f>IFERROR(VLOOKUP(L70, [2]رواتب!B:S, 5, FALSE), "مش موجود")</f>
        <v>التشطيب</v>
      </c>
      <c r="O70" s="13"/>
      <c r="P70" s="12"/>
      <c r="Q70" s="12">
        <f>_xlfn.XLOOKUP(L70, [1]رواتب!B:B, [1]رواتب!S:S, "")</f>
        <v>3700</v>
      </c>
      <c r="R70" s="14">
        <v>96881</v>
      </c>
    </row>
    <row r="71" spans="11:18" x14ac:dyDescent="0.25">
      <c r="K71" s="5">
        <v>65</v>
      </c>
      <c r="L71" s="6">
        <v>3217</v>
      </c>
      <c r="M71" s="6" t="str">
        <f>IFERROR(VLOOKUP(L71, [2]رواتب!B:S, 6, FALSE), "مش موجود")</f>
        <v>لميس محمد ابراهيم علي جاد الله</v>
      </c>
      <c r="N71" s="7" t="str">
        <f>IFERROR(VLOOKUP(L71, [2]رواتب!B:S, 5, FALSE), "مش موجود")</f>
        <v>خط الصدر 2</v>
      </c>
      <c r="O71" s="8"/>
      <c r="P71" s="7"/>
      <c r="Q71" s="7">
        <f>_xlfn.XLOOKUP(L71, [1]رواتب!B:B, [1]رواتب!S:S, "")</f>
        <v>5000</v>
      </c>
      <c r="R71" s="9">
        <v>94710</v>
      </c>
    </row>
    <row r="72" spans="11:18" x14ac:dyDescent="0.25">
      <c r="K72" s="10">
        <v>66</v>
      </c>
      <c r="L72" s="11">
        <v>3559</v>
      </c>
      <c r="M72" s="11" t="str">
        <f>IFERROR(VLOOKUP(L72, [2]رواتب!B:S, 6, FALSE), "مش موجود")</f>
        <v>مسعد ابو بكر علي علي</v>
      </c>
      <c r="N72" s="12" t="str">
        <f>IFERROR(VLOOKUP(L72, [2]رواتب!B:S, 5, FALSE), "مش موجود")</f>
        <v>القص</v>
      </c>
      <c r="O72" s="13"/>
      <c r="P72" s="12"/>
      <c r="Q72" s="12">
        <f>_xlfn.XLOOKUP(L72, [1]رواتب!B:B, [1]رواتب!S:S, "")</f>
        <v>5650</v>
      </c>
      <c r="R72" s="14">
        <v>81164</v>
      </c>
    </row>
    <row r="73" spans="11:18" x14ac:dyDescent="0.25">
      <c r="K73" s="5">
        <v>67</v>
      </c>
      <c r="L73" s="6">
        <v>2635</v>
      </c>
      <c r="M73" s="6" t="str">
        <f>IFERROR(VLOOKUP(L73, [2]رواتب!B:S, 6, FALSE), "مش موجود")</f>
        <v>محمد السيد محمد مقبل خليل</v>
      </c>
      <c r="N73" s="7" t="str">
        <f>IFERROR(VLOOKUP(L73, [2]رواتب!B:S, 5, FALSE), "مش موجود")</f>
        <v>المكواه</v>
      </c>
      <c r="O73" s="8"/>
      <c r="P73" s="7"/>
      <c r="Q73" s="7">
        <f>_xlfn.XLOOKUP(L73, [1]رواتب!B:B, [1]رواتب!S:S, "")</f>
        <v>4450</v>
      </c>
      <c r="R73" s="9">
        <v>11967</v>
      </c>
    </row>
    <row r="74" spans="11:18" x14ac:dyDescent="0.25">
      <c r="K74" s="10">
        <v>68</v>
      </c>
      <c r="L74" s="11">
        <v>1020</v>
      </c>
      <c r="M74" s="11" t="str">
        <f>IFERROR(VLOOKUP(L74, [2]رواتب!B:S, 6, FALSE), "مش موجود")</f>
        <v>احمد عبد الله احمد احمد</v>
      </c>
      <c r="N74" s="12" t="str">
        <f>IFERROR(VLOOKUP(L74, [2]رواتب!B:S, 5, FALSE), "مش موجود")</f>
        <v>الجودة</v>
      </c>
      <c r="O74" s="13"/>
      <c r="P74" s="12"/>
      <c r="Q74" s="12">
        <f>_xlfn.XLOOKUP(L74, [1]رواتب!B:B, [1]رواتب!S:S, "")</f>
        <v>9000</v>
      </c>
      <c r="R74" s="14">
        <v>57913</v>
      </c>
    </row>
    <row r="75" spans="11:18" x14ac:dyDescent="0.25">
      <c r="K75" s="5">
        <v>69</v>
      </c>
      <c r="L75" s="6">
        <v>2188</v>
      </c>
      <c r="M75" s="6" t="str">
        <f>IFERROR(VLOOKUP(L75, [2]رواتب!B:S, 6, FALSE), "مش موجود")</f>
        <v>محمد فاروق فاروق محمد صالح</v>
      </c>
      <c r="N75" s="7" t="str">
        <f>IFERROR(VLOOKUP(L75, [2]رواتب!B:S, 5, FALSE), "مش موجود")</f>
        <v>خط الظهر 1</v>
      </c>
      <c r="O75" s="8"/>
      <c r="P75" s="7"/>
      <c r="Q75" s="7">
        <f>_xlfn.XLOOKUP(L75, [1]رواتب!B:B, [1]رواتب!S:S, "")</f>
        <v>6000</v>
      </c>
      <c r="R75" s="9">
        <v>76956</v>
      </c>
    </row>
    <row r="76" spans="11:18" x14ac:dyDescent="0.25">
      <c r="K76" s="10">
        <v>70</v>
      </c>
      <c r="L76" s="11">
        <v>2594</v>
      </c>
      <c r="M76" s="11" t="str">
        <f>IFERROR(VLOOKUP(L76, [2]رواتب!B:S, 6, FALSE), "مش موجود")</f>
        <v>شيماء عزت عزت السيد حال</v>
      </c>
      <c r="N76" s="12" t="str">
        <f>IFERROR(VLOOKUP(L76, [2]رواتب!B:S, 5, FALSE), "مش موجود")</f>
        <v>الجودة</v>
      </c>
      <c r="O76" s="13"/>
      <c r="P76" s="12"/>
      <c r="Q76" s="12">
        <f>_xlfn.XLOOKUP(L76, [1]رواتب!B:B, [1]رواتب!S:S, "")</f>
        <v>6500</v>
      </c>
      <c r="R76" s="14">
        <v>64816</v>
      </c>
    </row>
    <row r="77" spans="11:18" x14ac:dyDescent="0.25">
      <c r="K77" s="5">
        <v>71</v>
      </c>
      <c r="L77" s="6">
        <v>3614</v>
      </c>
      <c r="M77" s="6" t="str">
        <f>IFERROR(VLOOKUP(L77, [2]رواتب!B:S, 6, FALSE), "مش موجود")</f>
        <v>مش موجود</v>
      </c>
      <c r="N77" s="7" t="str">
        <f>IFERROR(VLOOKUP(L77, [2]رواتب!B:S, 5, FALSE), "مش موجود")</f>
        <v>مش موجود</v>
      </c>
      <c r="O77" s="8"/>
      <c r="P77" s="7"/>
      <c r="Q77" s="7" t="str">
        <f>_xlfn.XLOOKUP(L77, [1]رواتب!B:B, [1]رواتب!S:S, "")</f>
        <v/>
      </c>
      <c r="R77" s="9">
        <v>16802</v>
      </c>
    </row>
    <row r="78" spans="11:18" x14ac:dyDescent="0.25">
      <c r="K78" s="10">
        <v>72</v>
      </c>
      <c r="L78" s="11">
        <v>2650</v>
      </c>
      <c r="M78" s="11" t="str">
        <f>IFERROR(VLOOKUP(L78, [2]رواتب!B:S, 6, FALSE), "مش موجود")</f>
        <v>سماح محمد جمال الخضري</v>
      </c>
      <c r="N78" s="12" t="str">
        <f>IFERROR(VLOOKUP(L78, [2]رواتب!B:S, 5, FALSE), "مش موجود")</f>
        <v>خط الصدر 3</v>
      </c>
      <c r="O78" s="13"/>
      <c r="P78" s="12"/>
      <c r="Q78" s="12">
        <f>_xlfn.XLOOKUP(L78, [1]رواتب!B:B, [1]رواتب!S:S, "")</f>
        <v>6000</v>
      </c>
      <c r="R78" s="14">
        <v>57738</v>
      </c>
    </row>
    <row r="79" spans="11:18" x14ac:dyDescent="0.25">
      <c r="K79" s="5">
        <v>73</v>
      </c>
      <c r="L79" s="6">
        <v>3286</v>
      </c>
      <c r="M79" s="6" t="str">
        <f>IFERROR(VLOOKUP(L79, [2]رواتب!B:S, 6, FALSE), "مش موجود")</f>
        <v>حنان محمد عبده السيد النجدي</v>
      </c>
      <c r="N79" s="7" t="str">
        <f>IFERROR(VLOOKUP(L79, [2]رواتب!B:S, 5, FALSE), "مش موجود")</f>
        <v>الإدارة</v>
      </c>
      <c r="O79" s="8"/>
      <c r="P79" s="7"/>
      <c r="Q79" s="7">
        <f>_xlfn.XLOOKUP(L79, [1]رواتب!B:B, [1]رواتب!S:S, "")</f>
        <v>6500</v>
      </c>
      <c r="R79" s="9">
        <v>65745</v>
      </c>
    </row>
    <row r="80" spans="11:18" x14ac:dyDescent="0.25">
      <c r="K80" s="10">
        <v>74</v>
      </c>
      <c r="L80" s="11">
        <v>3288</v>
      </c>
      <c r="M80" s="11" t="str">
        <f>IFERROR(VLOOKUP(L80, [2]رواتب!B:S, 6, FALSE), "مش موجود")</f>
        <v>سيد محمد الصديق ابراهيم علي</v>
      </c>
      <c r="N80" s="12" t="str">
        <f>IFERROR(VLOOKUP(L80, [2]رواتب!B:S, 5, FALSE), "مش موجود")</f>
        <v>الإدارة الفنية</v>
      </c>
      <c r="O80" s="13"/>
      <c r="P80" s="12"/>
      <c r="Q80" s="12">
        <f>_xlfn.XLOOKUP(L80, [1]رواتب!B:B, [1]رواتب!S:S, "")</f>
        <v>6200</v>
      </c>
      <c r="R80" s="14">
        <v>98791</v>
      </c>
    </row>
    <row r="81" spans="11:18" x14ac:dyDescent="0.25">
      <c r="K81" s="5">
        <v>75</v>
      </c>
      <c r="L81" s="6">
        <v>2125</v>
      </c>
      <c r="M81" s="6" t="str">
        <f>IFERROR(VLOOKUP(L81, [2]رواتب!B:S, 6, FALSE), "مش موجود")</f>
        <v>هدى منجد</v>
      </c>
      <c r="N81" s="7" t="str">
        <f>IFERROR(VLOOKUP(L81, [2]رواتب!B:S, 5, FALSE), "مش موجود")</f>
        <v>خط الظهر 1</v>
      </c>
      <c r="O81" s="8"/>
      <c r="P81" s="7"/>
      <c r="Q81" s="7">
        <f>_xlfn.XLOOKUP(L81, [1]رواتب!B:B, [1]رواتب!S:S, "")</f>
        <v>7500</v>
      </c>
      <c r="R81" s="9">
        <v>81425</v>
      </c>
    </row>
    <row r="82" spans="11:18" x14ac:dyDescent="0.25">
      <c r="K82" s="10">
        <v>76</v>
      </c>
      <c r="L82" s="11">
        <v>2265</v>
      </c>
      <c r="M82" s="11" t="str">
        <f>IFERROR(VLOOKUP(L82, [2]رواتب!B:S, 6, FALSE), "مش موجود")</f>
        <v>معاطي ابو المعاطي محمد احمد</v>
      </c>
      <c r="N82" s="12" t="str">
        <f>IFERROR(VLOOKUP(L82, [2]رواتب!B:S, 5, FALSE), "مش موجود")</f>
        <v>الجودة</v>
      </c>
      <c r="O82" s="13"/>
      <c r="P82" s="12"/>
      <c r="Q82" s="12">
        <f>_xlfn.XLOOKUP(L82, [1]رواتب!B:B, [1]رواتب!S:S, "")</f>
        <v>9000</v>
      </c>
      <c r="R82" s="14">
        <v>60284</v>
      </c>
    </row>
    <row r="83" spans="11:18" x14ac:dyDescent="0.25">
      <c r="K83" s="5">
        <v>77</v>
      </c>
      <c r="L83" s="6">
        <v>2562</v>
      </c>
      <c r="M83" s="6" t="str">
        <f>IFERROR(VLOOKUP(L83, [2]رواتب!B:S, 6, FALSE), "مش موجود")</f>
        <v>نجفه عبده عبد الغفار مصطفى</v>
      </c>
      <c r="N83" s="7" t="str">
        <f>IFERROR(VLOOKUP(L83, [2]رواتب!B:S, 5, FALSE), "مش موجود")</f>
        <v>خط الصدر 2</v>
      </c>
      <c r="O83" s="8"/>
      <c r="P83" s="7"/>
      <c r="Q83" s="7">
        <f>_xlfn.XLOOKUP(L83, [1]رواتب!B:B, [1]رواتب!S:S, "")</f>
        <v>6000</v>
      </c>
      <c r="R83" s="9">
        <v>39143</v>
      </c>
    </row>
    <row r="84" spans="11:18" x14ac:dyDescent="0.25">
      <c r="K84" s="10">
        <v>78</v>
      </c>
      <c r="L84" s="11">
        <v>3118</v>
      </c>
      <c r="M84" s="11" t="str">
        <f>IFERROR(VLOOKUP(L84, [2]رواتب!B:S, 6, FALSE), "مش موجود")</f>
        <v>انهام السيد السيد سليم</v>
      </c>
      <c r="N84" s="12" t="str">
        <f>IFERROR(VLOOKUP(L84, [2]رواتب!B:S, 5, FALSE), "مش موجود")</f>
        <v>خدمات</v>
      </c>
      <c r="O84" s="13"/>
      <c r="P84" s="12"/>
      <c r="Q84" s="12">
        <f>_xlfn.XLOOKUP(L84, [1]رواتب!B:B, [1]رواتب!S:S, "")</f>
        <v>4400</v>
      </c>
      <c r="R84" s="14">
        <v>18002</v>
      </c>
    </row>
    <row r="85" spans="11:18" x14ac:dyDescent="0.25">
      <c r="K85" s="5">
        <v>79</v>
      </c>
      <c r="L85" s="6">
        <v>3034</v>
      </c>
      <c r="M85" s="6" t="str">
        <f>IFERROR(VLOOKUP(L85, [2]رواتب!B:S, 6, FALSE), "مش موجود")</f>
        <v>فاطمة السعيد علي السيد حسانين</v>
      </c>
      <c r="N85" s="7" t="str">
        <f>IFERROR(VLOOKUP(L85, [2]رواتب!B:S, 5, FALSE), "مش موجود")</f>
        <v>خط الظهر 1</v>
      </c>
      <c r="O85" s="8"/>
      <c r="P85" s="7"/>
      <c r="Q85" s="7">
        <f>_xlfn.XLOOKUP(L85, [1]رواتب!B:B, [1]رواتب!S:S, "")</f>
        <v>4000</v>
      </c>
      <c r="R85" s="9">
        <f ca="1">RANDBETWEEN(10000,99999)</f>
        <v>98713</v>
      </c>
    </row>
    <row r="86" spans="11:18" x14ac:dyDescent="0.25">
      <c r="K86" s="10">
        <v>80</v>
      </c>
      <c r="L86" s="11">
        <v>3558</v>
      </c>
      <c r="M86" s="11" t="str">
        <f>IFERROR(VLOOKUP(L86, [2]رواتب!B:S, 6, FALSE), "مش موجود")</f>
        <v>محمد السيد محمد محمد ابو المعاطي</v>
      </c>
      <c r="N86" s="12" t="str">
        <f>IFERROR(VLOOKUP(L86, [2]رواتب!B:S, 5, FALSE), "مش موجود")</f>
        <v>القص</v>
      </c>
      <c r="O86" s="13"/>
      <c r="P86" s="12"/>
      <c r="Q86" s="12">
        <f>_xlfn.XLOOKUP(L86, [1]رواتب!B:B, [1]رواتب!S:S, "")</f>
        <v>5650</v>
      </c>
      <c r="R86" s="14">
        <f ca="1">RANDBETWEEN(10000,99999)</f>
        <v>90179</v>
      </c>
    </row>
    <row r="87" spans="11:18" x14ac:dyDescent="0.25">
      <c r="K87" s="5">
        <v>81</v>
      </c>
      <c r="L87" s="6">
        <v>2756</v>
      </c>
      <c r="M87" s="6" t="str">
        <f>IFERROR(VLOOKUP(L87, [2]رواتب!B:S, 6, FALSE), "مش موجود")</f>
        <v>مي شعبان السيد عوض</v>
      </c>
      <c r="N87" s="7" t="str">
        <f>IFERROR(VLOOKUP(L87, [2]رواتب!B:S, 5, FALSE), "مش موجود")</f>
        <v>خط الفنيش 2</v>
      </c>
      <c r="O87" s="8"/>
      <c r="P87" s="7"/>
      <c r="Q87" s="7">
        <f>_xlfn.XLOOKUP(L87, [1]رواتب!B:B, [1]رواتب!S:S, "")</f>
        <v>4500</v>
      </c>
      <c r="R87" s="9">
        <f t="shared" ref="R87:R150" ca="1" si="0">RANDBETWEEN(10000,99999)</f>
        <v>92286</v>
      </c>
    </row>
    <row r="88" spans="11:18" x14ac:dyDescent="0.25">
      <c r="K88" s="10">
        <v>82</v>
      </c>
      <c r="L88" s="11">
        <v>3481</v>
      </c>
      <c r="M88" s="11" t="str">
        <f>IFERROR(VLOOKUP(L88, [2]رواتب!B:S, 6, FALSE), "مش موجود")</f>
        <v>سارة حلمي محمد عبداللطيف</v>
      </c>
      <c r="N88" s="12" t="str">
        <f>IFERROR(VLOOKUP(L88, [2]رواتب!B:S, 5, FALSE), "مش موجود")</f>
        <v>نهائي</v>
      </c>
      <c r="O88" s="13"/>
      <c r="P88" s="12"/>
      <c r="Q88" s="12">
        <f>_xlfn.XLOOKUP(L88, [1]رواتب!B:B, [1]رواتب!S:S, "")</f>
        <v>4500</v>
      </c>
      <c r="R88" s="14">
        <f t="shared" ca="1" si="0"/>
        <v>52971</v>
      </c>
    </row>
    <row r="89" spans="11:18" x14ac:dyDescent="0.25">
      <c r="K89" s="5">
        <v>83</v>
      </c>
      <c r="L89" s="6">
        <v>3231</v>
      </c>
      <c r="M89" s="6" t="str">
        <f>IFERROR(VLOOKUP(L89, [2]رواتب!B:S, 6, FALSE), "مش موجود")</f>
        <v>شهد عبده عبدالحليم عبده</v>
      </c>
      <c r="N89" s="7" t="str">
        <f>IFERROR(VLOOKUP(L89, [2]رواتب!B:S, 5, FALSE), "مش موجود")</f>
        <v>عراوي</v>
      </c>
      <c r="O89" s="8"/>
      <c r="P89" s="7"/>
      <c r="Q89" s="7">
        <f>_xlfn.XLOOKUP(L89, [1]رواتب!B:B, [1]رواتب!S:S, "")</f>
        <v>6000</v>
      </c>
      <c r="R89" s="9">
        <f t="shared" ca="1" si="0"/>
        <v>34025</v>
      </c>
    </row>
    <row r="90" spans="11:18" x14ac:dyDescent="0.25">
      <c r="K90" s="10">
        <v>84</v>
      </c>
      <c r="L90" s="11">
        <v>3418</v>
      </c>
      <c r="M90" s="11" t="str">
        <f>IFERROR(VLOOKUP(L90, [2]رواتب!B:S, 6, FALSE), "مش موجود")</f>
        <v>احمد محمد حسن محمد عبدالرحمن</v>
      </c>
      <c r="N90" s="12" t="str">
        <f>IFERROR(VLOOKUP(L90, [2]رواتب!B:S, 5, FALSE), "مش موجود")</f>
        <v>نهائي</v>
      </c>
      <c r="O90" s="13"/>
      <c r="P90" s="12"/>
      <c r="Q90" s="12">
        <f>_xlfn.XLOOKUP(L90, [1]رواتب!B:B, [1]رواتب!S:S, "")</f>
        <v>4500</v>
      </c>
      <c r="R90" s="14">
        <f t="shared" ca="1" si="0"/>
        <v>86491</v>
      </c>
    </row>
    <row r="91" spans="11:18" x14ac:dyDescent="0.25">
      <c r="K91" s="5">
        <v>85</v>
      </c>
      <c r="L91" s="6">
        <v>1042</v>
      </c>
      <c r="M91" s="6" t="str">
        <f>IFERROR(VLOOKUP(L91, [2]رواتب!B:S, 6, FALSE), "مش موجود")</f>
        <v>تمام رياض البيومى مجاهد</v>
      </c>
      <c r="N91" s="7" t="str">
        <f>IFERROR(VLOOKUP(L91, [2]رواتب!B:S, 5, FALSE), "مش موجود")</f>
        <v>نهائي</v>
      </c>
      <c r="O91" s="8"/>
      <c r="P91" s="7"/>
      <c r="Q91" s="7">
        <f>_xlfn.XLOOKUP(L91, [1]رواتب!B:B, [1]رواتب!S:S, "")</f>
        <v>6000</v>
      </c>
      <c r="R91" s="9">
        <f t="shared" ca="1" si="0"/>
        <v>12538</v>
      </c>
    </row>
    <row r="92" spans="11:18" x14ac:dyDescent="0.25">
      <c r="K92" s="10">
        <v>86</v>
      </c>
      <c r="L92" s="11">
        <v>3212</v>
      </c>
      <c r="M92" s="11" t="str">
        <f>IFERROR(VLOOKUP(L92, [2]رواتب!B:S, 6, FALSE), "مش موجود")</f>
        <v>سلامة حسن ابراهيم ابو الخير</v>
      </c>
      <c r="N92" s="12" t="str">
        <f>IFERROR(VLOOKUP(L92, [2]رواتب!B:S, 5, FALSE), "مش موجود")</f>
        <v>خط الصدر 1</v>
      </c>
      <c r="O92" s="13"/>
      <c r="P92" s="12"/>
      <c r="Q92" s="12">
        <f>_xlfn.XLOOKUP(L92, [1]رواتب!B:B, [1]رواتب!S:S, "")</f>
        <v>7500</v>
      </c>
      <c r="R92" s="14">
        <f t="shared" ca="1" si="0"/>
        <v>71602</v>
      </c>
    </row>
    <row r="93" spans="11:18" x14ac:dyDescent="0.25">
      <c r="K93" s="5">
        <v>87</v>
      </c>
      <c r="L93" s="6">
        <v>2677</v>
      </c>
      <c r="M93" s="6" t="str">
        <f>IFERROR(VLOOKUP(L93, [2]رواتب!B:S, 6, FALSE), "مش موجود")</f>
        <v>محمد احمد عبدالباري محمد</v>
      </c>
      <c r="N93" s="7" t="str">
        <f>IFERROR(VLOOKUP(L93, [2]رواتب!B:S, 5, FALSE), "مش موجود")</f>
        <v>نهائي</v>
      </c>
      <c r="O93" s="8"/>
      <c r="P93" s="7"/>
      <c r="Q93" s="7">
        <f>_xlfn.XLOOKUP(L93, [1]رواتب!B:B, [1]رواتب!S:S, "")</f>
        <v>5500</v>
      </c>
      <c r="R93" s="9">
        <f t="shared" ca="1" si="0"/>
        <v>92652</v>
      </c>
    </row>
    <row r="94" spans="11:18" x14ac:dyDescent="0.25">
      <c r="K94" s="10">
        <v>88</v>
      </c>
      <c r="L94" s="11">
        <v>3613</v>
      </c>
      <c r="M94" s="11" t="str">
        <f>IFERROR(VLOOKUP(L94, [2]رواتب!B:S, 6, FALSE), "مش موجود")</f>
        <v>مش موجود</v>
      </c>
      <c r="N94" s="12" t="str">
        <f>IFERROR(VLOOKUP(L94, [2]رواتب!B:S, 5, FALSE), "مش موجود")</f>
        <v>مش موجود</v>
      </c>
      <c r="O94" s="13"/>
      <c r="P94" s="12"/>
      <c r="Q94" s="12" t="str">
        <f>_xlfn.XLOOKUP(L94, [1]رواتب!B:B, [1]رواتب!S:S, "")</f>
        <v/>
      </c>
      <c r="R94" s="14">
        <f t="shared" ca="1" si="0"/>
        <v>88937</v>
      </c>
    </row>
    <row r="95" spans="11:18" x14ac:dyDescent="0.25">
      <c r="K95" s="5">
        <v>89</v>
      </c>
      <c r="L95" s="6">
        <v>3483</v>
      </c>
      <c r="M95" s="6" t="str">
        <f>IFERROR(VLOOKUP(L95, [2]رواتب!B:S, 6, FALSE), "مش موجود")</f>
        <v>امير عبداللطيف احمد هاشم</v>
      </c>
      <c r="N95" s="7" t="str">
        <f>IFERROR(VLOOKUP(L95, [2]رواتب!B:S, 5, FALSE), "مش موجود")</f>
        <v>نهائي</v>
      </c>
      <c r="O95" s="8"/>
      <c r="P95" s="7"/>
      <c r="Q95" s="7">
        <f>_xlfn.XLOOKUP(L95, [1]رواتب!B:B, [1]رواتب!S:S, "")</f>
        <v>6000</v>
      </c>
      <c r="R95" s="9">
        <f t="shared" ca="1" si="0"/>
        <v>24069</v>
      </c>
    </row>
    <row r="96" spans="11:18" x14ac:dyDescent="0.25">
      <c r="K96" s="10">
        <v>90</v>
      </c>
      <c r="L96" s="11">
        <v>2041</v>
      </c>
      <c r="M96" s="11" t="str">
        <f>IFERROR(VLOOKUP(L96, [2]رواتب!B:S, 6, FALSE), "مش موجود")</f>
        <v xml:space="preserve">احمد الزيني </v>
      </c>
      <c r="N96" s="12" t="str">
        <f>IFERROR(VLOOKUP(L96, [2]رواتب!B:S, 5, FALSE), "مش موجود")</f>
        <v>خط الظهر 2</v>
      </c>
      <c r="O96" s="13"/>
      <c r="P96" s="12"/>
      <c r="Q96" s="12">
        <f>_xlfn.XLOOKUP(L96, [1]رواتب!B:B, [1]رواتب!S:S, "")</f>
        <v>8500</v>
      </c>
      <c r="R96" s="14">
        <f t="shared" ca="1" si="0"/>
        <v>32909</v>
      </c>
    </row>
    <row r="97" spans="11:18" x14ac:dyDescent="0.25">
      <c r="K97" s="5">
        <v>91</v>
      </c>
      <c r="L97" s="6">
        <v>3482</v>
      </c>
      <c r="M97" s="6" t="str">
        <f>IFERROR(VLOOKUP(L97, [2]رواتب!B:S, 6, FALSE), "مش موجود")</f>
        <v>مروة محمد افراج محمد حمدي</v>
      </c>
      <c r="N97" s="7" t="str">
        <f>IFERROR(VLOOKUP(L97, [2]رواتب!B:S, 5, FALSE), "مش موجود")</f>
        <v>الإدارة</v>
      </c>
      <c r="O97" s="8"/>
      <c r="P97" s="7"/>
      <c r="Q97" s="7">
        <f>_xlfn.XLOOKUP(L97, [1]رواتب!B:B, [1]رواتب!S:S, "")</f>
        <v>15000</v>
      </c>
      <c r="R97" s="9">
        <f t="shared" ca="1" si="0"/>
        <v>40074</v>
      </c>
    </row>
    <row r="98" spans="11:18" x14ac:dyDescent="0.25">
      <c r="K98" s="10">
        <v>92</v>
      </c>
      <c r="L98" s="11">
        <v>2553</v>
      </c>
      <c r="M98" s="11" t="str">
        <f>IFERROR(VLOOKUP(L98, [2]رواتب!B:S, 6, FALSE), "مش موجود")</f>
        <v>كريم السيد احمد السيد شطا</v>
      </c>
      <c r="N98" s="12" t="str">
        <f>IFERROR(VLOOKUP(L98, [2]رواتب!B:S, 5, FALSE), "مش موجود")</f>
        <v>خط الفنيش 2</v>
      </c>
      <c r="O98" s="13"/>
      <c r="P98" s="12"/>
      <c r="Q98" s="12">
        <f>_xlfn.XLOOKUP(L98, [1]رواتب!B:B, [1]رواتب!S:S, "")</f>
        <v>5000</v>
      </c>
      <c r="R98" s="14">
        <f t="shared" ca="1" si="0"/>
        <v>30660</v>
      </c>
    </row>
    <row r="99" spans="11:18" x14ac:dyDescent="0.25">
      <c r="K99" s="5">
        <v>93</v>
      </c>
      <c r="L99" s="6">
        <v>3082</v>
      </c>
      <c r="M99" s="6" t="str">
        <f>IFERROR(VLOOKUP(L99, [2]رواتب!B:S, 6, FALSE), "مش موجود")</f>
        <v>حنان عبده عبدالحميد احمد الشاذلي</v>
      </c>
      <c r="N99" s="7" t="str">
        <f>IFERROR(VLOOKUP(L99, [2]رواتب!B:S, 5, FALSE), "مش موجود")</f>
        <v>خط الفنيش 3</v>
      </c>
      <c r="O99" s="8"/>
      <c r="P99" s="7"/>
      <c r="Q99" s="7">
        <f>_xlfn.XLOOKUP(L99, [1]رواتب!B:B, [1]رواتب!S:S, "")</f>
        <v>3500</v>
      </c>
      <c r="R99" s="9">
        <f t="shared" ca="1" si="0"/>
        <v>51080</v>
      </c>
    </row>
    <row r="100" spans="11:18" x14ac:dyDescent="0.25">
      <c r="K100" s="10">
        <v>94</v>
      </c>
      <c r="L100" s="11">
        <v>3557</v>
      </c>
      <c r="M100" s="11" t="str">
        <f>IFERROR(VLOOKUP(L100, [2]رواتب!B:S, 6, FALSE), "مش موجود")</f>
        <v>امل السيد محمد علي فرج</v>
      </c>
      <c r="N100" s="12" t="str">
        <f>IFERROR(VLOOKUP(L100, [2]رواتب!B:S, 5, FALSE), "مش موجود")</f>
        <v>خط الظهر 3</v>
      </c>
      <c r="O100" s="13"/>
      <c r="P100" s="12"/>
      <c r="Q100" s="12">
        <f>_xlfn.XLOOKUP(L100, [1]رواتب!B:B, [1]رواتب!S:S, "")</f>
        <v>4000</v>
      </c>
      <c r="R100" s="14">
        <f t="shared" ca="1" si="0"/>
        <v>60550</v>
      </c>
    </row>
    <row r="101" spans="11:18" x14ac:dyDescent="0.25">
      <c r="K101" s="5">
        <v>95</v>
      </c>
      <c r="L101" s="6">
        <v>1062</v>
      </c>
      <c r="M101" s="6" t="str">
        <f>IFERROR(VLOOKUP(L101, [2]رواتب!B:S, 6, FALSE), "مش موجود")</f>
        <v>سلوان صالح عرفات</v>
      </c>
      <c r="N101" s="7" t="str">
        <f>IFERROR(VLOOKUP(L101, [2]رواتب!B:S, 5, FALSE), "مش موجود")</f>
        <v>التجهيز</v>
      </c>
      <c r="O101" s="8"/>
      <c r="P101" s="7"/>
      <c r="Q101" s="7">
        <f>_xlfn.XLOOKUP(L101, [1]رواتب!B:B, [1]رواتب!S:S, "")</f>
        <v>10000</v>
      </c>
      <c r="R101" s="9">
        <f t="shared" ca="1" si="0"/>
        <v>97756</v>
      </c>
    </row>
    <row r="102" spans="11:18" x14ac:dyDescent="0.25">
      <c r="K102" s="10">
        <v>96</v>
      </c>
      <c r="L102" s="11">
        <v>3311</v>
      </c>
      <c r="M102" s="11" t="str">
        <f>IFERROR(VLOOKUP(L102, [2]رواتب!B:S, 6, FALSE), "مش موجود")</f>
        <v>مروة عبد الله عبد الجليل الحريري</v>
      </c>
      <c r="N102" s="12" t="str">
        <f>IFERROR(VLOOKUP(L102, [2]رواتب!B:S, 5, FALSE), "مش موجود")</f>
        <v>التخطيط</v>
      </c>
      <c r="O102" s="13"/>
      <c r="P102" s="12"/>
      <c r="Q102" s="12">
        <f>_xlfn.XLOOKUP(L102, [1]رواتب!B:B, [1]رواتب!S:S, "")</f>
        <v>5500</v>
      </c>
      <c r="R102" s="14">
        <f t="shared" ca="1" si="0"/>
        <v>92344</v>
      </c>
    </row>
    <row r="103" spans="11:18" x14ac:dyDescent="0.25">
      <c r="K103" s="5">
        <v>97</v>
      </c>
      <c r="L103" s="6">
        <v>3391</v>
      </c>
      <c r="M103" s="6" t="str">
        <f>IFERROR(VLOOKUP(L103, [2]رواتب!B:S, 6, FALSE), "مش موجود")</f>
        <v>عاطف احمد محمد سلام</v>
      </c>
      <c r="N103" s="7" t="str">
        <f>IFERROR(VLOOKUP(L103, [2]رواتب!B:S, 5, FALSE), "مش موجود")</f>
        <v>الامن</v>
      </c>
      <c r="O103" s="8"/>
      <c r="P103" s="7"/>
      <c r="Q103" s="7">
        <f>_xlfn.XLOOKUP(L103, [1]رواتب!B:B, [1]رواتب!S:S, "")</f>
        <v>11000</v>
      </c>
      <c r="R103" s="9">
        <f t="shared" ca="1" si="0"/>
        <v>91606</v>
      </c>
    </row>
    <row r="104" spans="11:18" x14ac:dyDescent="0.25">
      <c r="K104" s="10">
        <v>98</v>
      </c>
      <c r="L104" s="11">
        <v>2238</v>
      </c>
      <c r="M104" s="11" t="str">
        <f>IFERROR(VLOOKUP(L104, [2]رواتب!B:S, 6, FALSE), "مش موجود")</f>
        <v>جنه محمد المرسي</v>
      </c>
      <c r="N104" s="12" t="str">
        <f>IFERROR(VLOOKUP(L104, [2]رواتب!B:S, 5, FALSE), "مش موجود")</f>
        <v>التجهيز</v>
      </c>
      <c r="O104" s="13"/>
      <c r="P104" s="12"/>
      <c r="Q104" s="12">
        <f>_xlfn.XLOOKUP(L104, [1]رواتب!B:B, [1]رواتب!S:S, "")</f>
        <v>7000</v>
      </c>
      <c r="R104" s="14">
        <f t="shared" ca="1" si="0"/>
        <v>40795</v>
      </c>
    </row>
    <row r="105" spans="11:18" x14ac:dyDescent="0.25">
      <c r="K105" s="5">
        <v>99</v>
      </c>
      <c r="L105" s="6">
        <v>27</v>
      </c>
      <c r="M105" s="6" t="str">
        <f>IFERROR(VLOOKUP(L105, [2]رواتب!B:S, 6, FALSE), "مش موجود")</f>
        <v>مروة احمد السيد الدسوقي</v>
      </c>
      <c r="N105" s="7" t="str">
        <f>IFERROR(VLOOKUP(L105, [2]رواتب!B:S, 5, FALSE), "مش موجود")</f>
        <v>التجهيز</v>
      </c>
      <c r="O105" s="8"/>
      <c r="P105" s="7"/>
      <c r="Q105" s="7">
        <f>_xlfn.XLOOKUP(L105, [1]رواتب!B:B, [1]رواتب!S:S, "")</f>
        <v>6500</v>
      </c>
      <c r="R105" s="9">
        <f t="shared" ca="1" si="0"/>
        <v>72852</v>
      </c>
    </row>
    <row r="106" spans="11:18" x14ac:dyDescent="0.25">
      <c r="K106" s="10">
        <v>100</v>
      </c>
      <c r="L106" s="11">
        <v>33</v>
      </c>
      <c r="M106" s="11" t="str">
        <f>IFERROR(VLOOKUP(L106, [2]رواتب!B:S, 6, FALSE), "مش موجود")</f>
        <v>اسراء احمد فؤاد</v>
      </c>
      <c r="N106" s="12" t="str">
        <f>IFERROR(VLOOKUP(L106, [2]رواتب!B:S, 5, FALSE), "مش موجود")</f>
        <v>التجهيز</v>
      </c>
      <c r="O106" s="13"/>
      <c r="P106" s="12"/>
      <c r="Q106" s="12">
        <f>_xlfn.XLOOKUP(L106, [1]رواتب!B:B, [1]رواتب!S:S, "")</f>
        <v>6500</v>
      </c>
      <c r="R106" s="14">
        <f t="shared" ca="1" si="0"/>
        <v>80103</v>
      </c>
    </row>
    <row r="107" spans="11:18" x14ac:dyDescent="0.25">
      <c r="K107" s="5">
        <v>101</v>
      </c>
      <c r="L107" s="6">
        <v>2250</v>
      </c>
      <c r="M107" s="6" t="str">
        <f>IFERROR(VLOOKUP(L107, [2]رواتب!B:S, 6, FALSE), "مش موجود")</f>
        <v>منه الله احمد فؤاد</v>
      </c>
      <c r="N107" s="7" t="str">
        <f>IFERROR(VLOOKUP(L107, [2]رواتب!B:S, 5, FALSE), "مش موجود")</f>
        <v>التجهيز</v>
      </c>
      <c r="O107" s="8"/>
      <c r="P107" s="7"/>
      <c r="Q107" s="7">
        <f>_xlfn.XLOOKUP(L107, [1]رواتب!B:B, [1]رواتب!S:S, "")</f>
        <v>6500</v>
      </c>
      <c r="R107" s="9">
        <f t="shared" ca="1" si="0"/>
        <v>43588</v>
      </c>
    </row>
    <row r="108" spans="11:18" x14ac:dyDescent="0.25">
      <c r="K108" s="10">
        <v>102</v>
      </c>
      <c r="L108" s="11">
        <v>3121</v>
      </c>
      <c r="M108" s="11" t="str">
        <f>IFERROR(VLOOKUP(L108, [2]رواتب!B:S, 6, FALSE), "مش موجود")</f>
        <v>الاء سعد سعد محمد ابو العطا</v>
      </c>
      <c r="N108" s="12" t="str">
        <f>IFERROR(VLOOKUP(L108, [2]رواتب!B:S, 5, FALSE), "مش موجود")</f>
        <v>خط الظهر 3</v>
      </c>
      <c r="O108" s="13"/>
      <c r="P108" s="12"/>
      <c r="Q108" s="12">
        <f>_xlfn.XLOOKUP(L108, [1]رواتب!B:B, [1]رواتب!S:S, "")</f>
        <v>4000</v>
      </c>
      <c r="R108" s="14">
        <f t="shared" ca="1" si="0"/>
        <v>15207</v>
      </c>
    </row>
    <row r="109" spans="11:18" x14ac:dyDescent="0.25">
      <c r="K109" s="5">
        <v>103</v>
      </c>
      <c r="L109" s="6">
        <v>3179</v>
      </c>
      <c r="M109" s="6" t="str">
        <f>IFERROR(VLOOKUP(L109, [2]رواتب!B:S, 6, FALSE), "مش موجود")</f>
        <v>وليد السيد ابراهيم ابراهيم جاد الله</v>
      </c>
      <c r="N109" s="7" t="str">
        <f>IFERROR(VLOOKUP(L109, [2]رواتب!B:S, 5, FALSE), "مش موجود")</f>
        <v>نهائي</v>
      </c>
      <c r="O109" s="8"/>
      <c r="P109" s="7"/>
      <c r="Q109" s="7">
        <f>_xlfn.XLOOKUP(L109, [1]رواتب!B:B, [1]رواتب!S:S, "")</f>
        <v>4000</v>
      </c>
      <c r="R109" s="9">
        <f t="shared" ca="1" si="0"/>
        <v>52289</v>
      </c>
    </row>
    <row r="110" spans="11:18" x14ac:dyDescent="0.25">
      <c r="K110" s="10">
        <v>104</v>
      </c>
      <c r="L110" s="11">
        <v>2220</v>
      </c>
      <c r="M110" s="11" t="str">
        <f>IFERROR(VLOOKUP(L110, [2]رواتب!B:S, 6, FALSE), "مش موجود")</f>
        <v>سماح حسن محمد السعيد مسعد عبد العال</v>
      </c>
      <c r="N110" s="12" t="str">
        <f>IFERROR(VLOOKUP(L110, [2]رواتب!B:S, 5, FALSE), "مش موجود")</f>
        <v>التجهيز</v>
      </c>
      <c r="O110" s="13"/>
      <c r="P110" s="12"/>
      <c r="Q110" s="12">
        <f>_xlfn.XLOOKUP(L110, [1]رواتب!B:B, [1]رواتب!S:S, "")</f>
        <v>6500</v>
      </c>
      <c r="R110" s="14">
        <f t="shared" ca="1" si="0"/>
        <v>30222</v>
      </c>
    </row>
    <row r="111" spans="11:18" x14ac:dyDescent="0.25">
      <c r="K111" s="5">
        <v>105</v>
      </c>
      <c r="L111" s="6">
        <v>3555</v>
      </c>
      <c r="M111" s="6" t="str">
        <f>IFERROR(VLOOKUP(L111, [2]رواتب!B:S, 6, FALSE), "مش موجود")</f>
        <v>يوسف ابراهيم يوسف السيد فرحات</v>
      </c>
      <c r="N111" s="7" t="str">
        <f>IFERROR(VLOOKUP(L111, [2]رواتب!B:S, 5, FALSE), "مش موجود")</f>
        <v>خط الفنيش 2</v>
      </c>
      <c r="O111" s="8"/>
      <c r="P111" s="7"/>
      <c r="Q111" s="7">
        <f>_xlfn.XLOOKUP(L111, [1]رواتب!B:B, [1]رواتب!S:S, "")</f>
        <v>4000</v>
      </c>
      <c r="R111" s="9">
        <f t="shared" ca="1" si="0"/>
        <v>59827</v>
      </c>
    </row>
    <row r="112" spans="11:18" x14ac:dyDescent="0.25">
      <c r="K112" s="10">
        <v>106</v>
      </c>
      <c r="L112" s="11">
        <v>1068</v>
      </c>
      <c r="M112" s="11" t="str">
        <f>IFERROR(VLOOKUP(L112, [2]رواتب!B:S, 6, FALSE), "مش موجود")</f>
        <v>ايه محمد ابراهيم عباس</v>
      </c>
      <c r="N112" s="12" t="str">
        <f>IFERROR(VLOOKUP(L112, [2]رواتب!B:S, 5, FALSE), "مش موجود")</f>
        <v>التجهيز</v>
      </c>
      <c r="O112" s="13"/>
      <c r="P112" s="12"/>
      <c r="Q112" s="12">
        <f>_xlfn.XLOOKUP(L112, [1]رواتب!B:B, [1]رواتب!S:S, "")</f>
        <v>7000</v>
      </c>
      <c r="R112" s="14">
        <f t="shared" ca="1" si="0"/>
        <v>79041</v>
      </c>
    </row>
    <row r="113" spans="11:18" x14ac:dyDescent="0.25">
      <c r="K113" s="5">
        <v>107</v>
      </c>
      <c r="L113" s="6">
        <v>1067</v>
      </c>
      <c r="M113" s="6" t="str">
        <f>IFERROR(VLOOKUP(L113, [2]رواتب!B:S, 6, FALSE), "مش موجود")</f>
        <v>شهيره عبده عبد الواحد</v>
      </c>
      <c r="N113" s="7" t="str">
        <f>IFERROR(VLOOKUP(L113, [2]رواتب!B:S, 5, FALSE), "مش موجود")</f>
        <v>التجهيز</v>
      </c>
      <c r="O113" s="8"/>
      <c r="P113" s="7"/>
      <c r="Q113" s="7">
        <f>_xlfn.XLOOKUP(L113, [1]رواتب!B:B, [1]رواتب!S:S, "")</f>
        <v>4000</v>
      </c>
      <c r="R113" s="9">
        <f t="shared" ca="1" si="0"/>
        <v>77621</v>
      </c>
    </row>
    <row r="114" spans="11:18" x14ac:dyDescent="0.25">
      <c r="K114" s="10">
        <v>108</v>
      </c>
      <c r="L114" s="11">
        <v>2248</v>
      </c>
      <c r="M114" s="11" t="str">
        <f>IFERROR(VLOOKUP(L114, [2]رواتب!B:S, 6, FALSE), "مش موجود")</f>
        <v>محمد محمد السيد ابراهيم مايو</v>
      </c>
      <c r="N114" s="12" t="str">
        <f>IFERROR(VLOOKUP(L114, [2]رواتب!B:S, 5, FALSE), "مش موجود")</f>
        <v>خط الفنيش 3</v>
      </c>
      <c r="O114" s="13"/>
      <c r="P114" s="12"/>
      <c r="Q114" s="12">
        <f>_xlfn.XLOOKUP(L114, [1]رواتب!B:B, [1]رواتب!S:S, "")</f>
        <v>9000</v>
      </c>
      <c r="R114" s="14">
        <f t="shared" ca="1" si="0"/>
        <v>68613</v>
      </c>
    </row>
    <row r="115" spans="11:18" x14ac:dyDescent="0.25">
      <c r="K115" s="5">
        <v>109</v>
      </c>
      <c r="L115" s="6">
        <v>2023</v>
      </c>
      <c r="M115" s="6" t="str">
        <f>IFERROR(VLOOKUP(L115, [2]رواتب!B:S, 6, FALSE), "مش موجود")</f>
        <v>شريف محمد السيد ابراهيم حسانين</v>
      </c>
      <c r="N115" s="7" t="str">
        <f>IFERROR(VLOOKUP(L115, [2]رواتب!B:S, 5, FALSE), "مش موجود")</f>
        <v>خط الفنيش 1</v>
      </c>
      <c r="O115" s="8"/>
      <c r="P115" s="7"/>
      <c r="Q115" s="7">
        <f>_xlfn.XLOOKUP(L115, [1]رواتب!B:B, [1]رواتب!S:S, "")</f>
        <v>7000</v>
      </c>
      <c r="R115" s="9">
        <f t="shared" ca="1" si="0"/>
        <v>60830</v>
      </c>
    </row>
    <row r="116" spans="11:18" x14ac:dyDescent="0.25">
      <c r="K116" s="10">
        <v>110</v>
      </c>
      <c r="L116" s="11">
        <v>3310</v>
      </c>
      <c r="M116" s="11" t="str">
        <f>IFERROR(VLOOKUP(L116, [2]رواتب!B:S, 6, FALSE), "مش موجود")</f>
        <v>ملك محمد مصطفى ابراهيم درويش</v>
      </c>
      <c r="N116" s="12" t="str">
        <f>IFERROR(VLOOKUP(L116, [2]رواتب!B:S, 5, FALSE), "مش موجود")</f>
        <v>خط الفنيش 2</v>
      </c>
      <c r="O116" s="13"/>
      <c r="P116" s="12"/>
      <c r="Q116" s="12">
        <f>_xlfn.XLOOKUP(L116, [1]رواتب!B:B, [1]رواتب!S:S, "")</f>
        <v>6000</v>
      </c>
      <c r="R116" s="14">
        <f t="shared" ca="1" si="0"/>
        <v>36897</v>
      </c>
    </row>
    <row r="117" spans="11:18" x14ac:dyDescent="0.25">
      <c r="K117" s="5">
        <v>111</v>
      </c>
      <c r="L117" s="6">
        <v>3446</v>
      </c>
      <c r="M117" s="6" t="str">
        <f>IFERROR(VLOOKUP(L117, [2]رواتب!B:S, 6, FALSE), "مش موجود")</f>
        <v>السمرة محمد فهيم محمد عطية</v>
      </c>
      <c r="N117" s="7" t="str">
        <f>IFERROR(VLOOKUP(L117, [2]رواتب!B:S, 5, FALSE), "مش موجود")</f>
        <v>التشطيب</v>
      </c>
      <c r="O117" s="8"/>
      <c r="P117" s="7"/>
      <c r="Q117" s="7">
        <f>_xlfn.XLOOKUP(L117, [1]رواتب!B:B, [1]رواتب!S:S, "")</f>
        <v>3500</v>
      </c>
      <c r="R117" s="9">
        <f t="shared" ca="1" si="0"/>
        <v>13791</v>
      </c>
    </row>
    <row r="118" spans="11:18" x14ac:dyDescent="0.25">
      <c r="K118" s="10">
        <v>112</v>
      </c>
      <c r="L118" s="11">
        <v>2422</v>
      </c>
      <c r="M118" s="11" t="str">
        <f>IFERROR(VLOOKUP(L118, [2]رواتب!B:S, 6, FALSE), "مش موجود")</f>
        <v>عبد الرحمن السيد جابر العصفوري</v>
      </c>
      <c r="N118" s="12" t="str">
        <f>IFERROR(VLOOKUP(L118, [2]رواتب!B:S, 5, FALSE), "مش موجود")</f>
        <v>خط الظهر 1</v>
      </c>
      <c r="O118" s="13"/>
      <c r="P118" s="12"/>
      <c r="Q118" s="12">
        <f>_xlfn.XLOOKUP(L118, [1]رواتب!B:B, [1]رواتب!S:S, "")</f>
        <v>7500</v>
      </c>
      <c r="R118" s="14">
        <f t="shared" ca="1" si="0"/>
        <v>43266</v>
      </c>
    </row>
    <row r="119" spans="11:18" x14ac:dyDescent="0.25">
      <c r="K119" s="5">
        <v>113</v>
      </c>
      <c r="L119" s="6">
        <v>1082</v>
      </c>
      <c r="M119" s="6" t="str">
        <f>IFERROR(VLOOKUP(L119, [2]رواتب!B:S, 6, FALSE), "مش موجود")</f>
        <v>اشرف يحيي شطا</v>
      </c>
      <c r="N119" s="7" t="str">
        <f>IFERROR(VLOOKUP(L119, [2]رواتب!B:S, 5, FALSE), "مش موجود")</f>
        <v>خط الفنيش 1</v>
      </c>
      <c r="O119" s="8"/>
      <c r="P119" s="7"/>
      <c r="Q119" s="7">
        <f>_xlfn.XLOOKUP(L119, [1]رواتب!B:B, [1]رواتب!S:S, "")</f>
        <v>8500</v>
      </c>
      <c r="R119" s="9">
        <f t="shared" ca="1" si="0"/>
        <v>87524</v>
      </c>
    </row>
    <row r="120" spans="11:18" x14ac:dyDescent="0.25">
      <c r="K120" s="10">
        <v>114</v>
      </c>
      <c r="L120" s="11">
        <v>3312</v>
      </c>
      <c r="M120" s="11" t="str">
        <f>IFERROR(VLOOKUP(L120, [2]رواتب!B:S, 6, FALSE), "مش موجود")</f>
        <v>علي حسن حسن علي العريان</v>
      </c>
      <c r="N120" s="12" t="str">
        <f>IFERROR(VLOOKUP(L120, [2]رواتب!B:S, 5, FALSE), "مش موجود")</f>
        <v>التخطيط</v>
      </c>
      <c r="O120" s="13"/>
      <c r="P120" s="12"/>
      <c r="Q120" s="12">
        <f>_xlfn.XLOOKUP(L120, [1]رواتب!B:B, [1]رواتب!S:S, "")</f>
        <v>7000</v>
      </c>
      <c r="R120" s="14">
        <f t="shared" ca="1" si="0"/>
        <v>71965</v>
      </c>
    </row>
    <row r="121" spans="11:18" x14ac:dyDescent="0.25">
      <c r="K121" s="5">
        <v>115</v>
      </c>
      <c r="L121" s="6">
        <v>2038</v>
      </c>
      <c r="M121" s="6" t="str">
        <f>IFERROR(VLOOKUP(L121, [2]رواتب!B:S, 6, FALSE), "مش موجود")</f>
        <v>سلمى عبدالله الزيني</v>
      </c>
      <c r="N121" s="7" t="str">
        <f>IFERROR(VLOOKUP(L121, [2]رواتب!B:S, 5, FALSE), "مش موجود")</f>
        <v>عراوي</v>
      </c>
      <c r="O121" s="8"/>
      <c r="P121" s="7"/>
      <c r="Q121" s="7">
        <f>_xlfn.XLOOKUP(L121, [1]رواتب!B:B, [1]رواتب!S:S, "")</f>
        <v>6800</v>
      </c>
      <c r="R121" s="9">
        <f t="shared" ca="1" si="0"/>
        <v>53815</v>
      </c>
    </row>
    <row r="122" spans="11:18" x14ac:dyDescent="0.25">
      <c r="K122" s="10">
        <v>116</v>
      </c>
      <c r="L122" s="11">
        <v>3198</v>
      </c>
      <c r="M122" s="11" t="str">
        <f>IFERROR(VLOOKUP(L122, [2]رواتب!B:S, 6, FALSE), "مش موجود")</f>
        <v>محمود احمد السيد يوسف</v>
      </c>
      <c r="N122" s="12" t="str">
        <f>IFERROR(VLOOKUP(L122, [2]رواتب!B:S, 5, FALSE), "مش موجود")</f>
        <v>عراوي</v>
      </c>
      <c r="O122" s="13"/>
      <c r="P122" s="12"/>
      <c r="Q122" s="12">
        <f>_xlfn.XLOOKUP(L122, [1]رواتب!B:B, [1]رواتب!S:S, "")</f>
        <v>8500</v>
      </c>
      <c r="R122" s="14">
        <f t="shared" ca="1" si="0"/>
        <v>87727</v>
      </c>
    </row>
    <row r="123" spans="11:18" x14ac:dyDescent="0.25">
      <c r="K123" s="5">
        <v>117</v>
      </c>
      <c r="L123" s="6">
        <v>2271</v>
      </c>
      <c r="M123" s="6" t="str">
        <f>IFERROR(VLOOKUP(L123, [2]رواتب!B:S, 6, FALSE), "مش موجود")</f>
        <v>فاطمة السيد الجعيدي</v>
      </c>
      <c r="N123" s="7" t="str">
        <f>IFERROR(VLOOKUP(L123, [2]رواتب!B:S, 5, FALSE), "مش موجود")</f>
        <v>خط الفنيش 1</v>
      </c>
      <c r="O123" s="8"/>
      <c r="P123" s="7"/>
      <c r="Q123" s="7">
        <f>_xlfn.XLOOKUP(L123, [1]رواتب!B:B, [1]رواتب!S:S, "")</f>
        <v>4000</v>
      </c>
      <c r="R123" s="9">
        <f t="shared" ca="1" si="0"/>
        <v>69956</v>
      </c>
    </row>
    <row r="124" spans="11:18" x14ac:dyDescent="0.25">
      <c r="K124" s="10">
        <v>118</v>
      </c>
      <c r="L124" s="11">
        <v>2728</v>
      </c>
      <c r="M124" s="11" t="str">
        <f>IFERROR(VLOOKUP(L124, [2]رواتب!B:S, 6, FALSE), "مش موجود")</f>
        <v>بسملة محمد ابراهيم رزق</v>
      </c>
      <c r="N124" s="12" t="str">
        <f>IFERROR(VLOOKUP(L124, [2]رواتب!B:S, 5, FALSE), "مش موجود")</f>
        <v>خط الصدر 1</v>
      </c>
      <c r="O124" s="13"/>
      <c r="P124" s="12"/>
      <c r="Q124" s="12">
        <f>_xlfn.XLOOKUP(L124, [1]رواتب!B:B, [1]رواتب!S:S, "")</f>
        <v>4000</v>
      </c>
      <c r="R124" s="14">
        <f t="shared" ca="1" si="0"/>
        <v>50949</v>
      </c>
    </row>
    <row r="125" spans="11:18" x14ac:dyDescent="0.25">
      <c r="K125" s="5">
        <v>119</v>
      </c>
      <c r="L125" s="6">
        <v>3180</v>
      </c>
      <c r="M125" s="6" t="str">
        <f>IFERROR(VLOOKUP(L125, [2]رواتب!B:S, 6, FALSE), "مش موجود")</f>
        <v>منتصر ابو المعاطي ابراهيم الزلاط</v>
      </c>
      <c r="N125" s="7" t="str">
        <f>IFERROR(VLOOKUP(L125, [2]رواتب!B:S, 5, FALSE), "مش موجود")</f>
        <v>نهائي</v>
      </c>
      <c r="O125" s="8"/>
      <c r="P125" s="7"/>
      <c r="Q125" s="7">
        <f>_xlfn.XLOOKUP(L125, [1]رواتب!B:B, [1]رواتب!S:S, "")</f>
        <v>7300</v>
      </c>
      <c r="R125" s="9">
        <f t="shared" ca="1" si="0"/>
        <v>82631</v>
      </c>
    </row>
    <row r="126" spans="11:18" x14ac:dyDescent="0.25">
      <c r="K126" s="10">
        <v>120</v>
      </c>
      <c r="L126" s="11">
        <v>2405</v>
      </c>
      <c r="M126" s="11" t="str">
        <f>IFERROR(VLOOKUP(L126, [2]رواتب!B:S, 6, FALSE), "مش موجود")</f>
        <v xml:space="preserve">رضوى جلال العزبي </v>
      </c>
      <c r="N126" s="12" t="str">
        <f>IFERROR(VLOOKUP(L126, [2]رواتب!B:S, 5, FALSE), "مش موجود")</f>
        <v>خط الصدر 3</v>
      </c>
      <c r="O126" s="13"/>
      <c r="P126" s="12"/>
      <c r="Q126" s="12">
        <f>_xlfn.XLOOKUP(L126, [1]رواتب!B:B, [1]رواتب!S:S, "")</f>
        <v>9000</v>
      </c>
      <c r="R126" s="14">
        <f t="shared" ca="1" si="0"/>
        <v>29749</v>
      </c>
    </row>
    <row r="127" spans="11:18" x14ac:dyDescent="0.25">
      <c r="K127" s="5">
        <v>121</v>
      </c>
      <c r="L127" s="6">
        <v>3605</v>
      </c>
      <c r="M127" s="6" t="str">
        <f>IFERROR(VLOOKUP(L127, [2]رواتب!B:S, 6, FALSE), "مش موجود")</f>
        <v>زينب محمد حمدي احمد</v>
      </c>
      <c r="N127" s="7" t="str">
        <f>IFERROR(VLOOKUP(L127, [2]رواتب!B:S, 5, FALSE), "مش موجود")</f>
        <v>خط الظهر 3</v>
      </c>
      <c r="O127" s="8"/>
      <c r="P127" s="7"/>
      <c r="Q127" s="7">
        <f>_xlfn.XLOOKUP(L127, [1]رواتب!B:B, [1]رواتب!S:S, "")</f>
        <v>3500</v>
      </c>
      <c r="R127" s="9">
        <f t="shared" ca="1" si="0"/>
        <v>76532</v>
      </c>
    </row>
    <row r="128" spans="11:18" x14ac:dyDescent="0.25">
      <c r="K128" s="10">
        <v>122</v>
      </c>
      <c r="L128" s="11">
        <v>3556</v>
      </c>
      <c r="M128" s="11" t="str">
        <f>IFERROR(VLOOKUP(L128, [2]رواتب!B:S, 6, FALSE), "مش موجود")</f>
        <v>يوسف حسن حسن الجرايحي النبلاوي</v>
      </c>
      <c r="N128" s="12" t="str">
        <f>IFERROR(VLOOKUP(L128, [2]رواتب!B:S, 5, FALSE), "مش موجود")</f>
        <v>خط الفنيش 1</v>
      </c>
      <c r="O128" s="13"/>
      <c r="P128" s="12"/>
      <c r="Q128" s="12">
        <f>_xlfn.XLOOKUP(L128, [1]رواتب!B:B, [1]رواتب!S:S, "")</f>
        <v>4500</v>
      </c>
      <c r="R128" s="14">
        <f t="shared" ca="1" si="0"/>
        <v>67539</v>
      </c>
    </row>
    <row r="129" spans="11:18" x14ac:dyDescent="0.25">
      <c r="K129" s="5">
        <v>123</v>
      </c>
      <c r="L129" s="6">
        <v>2012</v>
      </c>
      <c r="M129" s="6" t="str">
        <f>IFERROR(VLOOKUP(L129, [2]رواتب!B:S, 6, FALSE), "مش موجود")</f>
        <v>محمد محمد عز الدين</v>
      </c>
      <c r="N129" s="7" t="str">
        <f>IFERROR(VLOOKUP(L129, [2]رواتب!B:S, 5, FALSE), "مش موجود")</f>
        <v>خط الفنيش 1</v>
      </c>
      <c r="O129" s="8"/>
      <c r="P129" s="7"/>
      <c r="Q129" s="7">
        <f>_xlfn.XLOOKUP(L129, [1]رواتب!B:B, [1]رواتب!S:S, "")</f>
        <v>10500</v>
      </c>
      <c r="R129" s="9">
        <f t="shared" ca="1" si="0"/>
        <v>25271</v>
      </c>
    </row>
    <row r="130" spans="11:18" x14ac:dyDescent="0.25">
      <c r="K130" s="10">
        <v>124</v>
      </c>
      <c r="L130" s="11">
        <v>2055</v>
      </c>
      <c r="M130" s="11" t="str">
        <f>IFERROR(VLOOKUP(L130, [2]رواتب!B:S, 6, FALSE), "مش موجود")</f>
        <v xml:space="preserve">محمد السيد عباس </v>
      </c>
      <c r="N130" s="12" t="str">
        <f>IFERROR(VLOOKUP(L130, [2]رواتب!B:S, 5, FALSE), "مش موجود")</f>
        <v>خط الظهر 1</v>
      </c>
      <c r="O130" s="13"/>
      <c r="P130" s="12"/>
      <c r="Q130" s="12">
        <f>_xlfn.XLOOKUP(L130, [1]رواتب!B:B, [1]رواتب!S:S, "")</f>
        <v>10000</v>
      </c>
      <c r="R130" s="14">
        <f t="shared" ca="1" si="0"/>
        <v>64835</v>
      </c>
    </row>
    <row r="131" spans="11:18" x14ac:dyDescent="0.25">
      <c r="K131" s="5">
        <v>125</v>
      </c>
      <c r="L131" s="6">
        <v>2267</v>
      </c>
      <c r="M131" s="6" t="str">
        <f>IFERROR(VLOOKUP(L131, [2]رواتب!B:S, 6, FALSE), "مش موجود")</f>
        <v>محمد رزق المتولي</v>
      </c>
      <c r="N131" s="7" t="str">
        <f>IFERROR(VLOOKUP(L131, [2]رواتب!B:S, 5, FALSE), "مش موجود")</f>
        <v>خط الفنيش 2</v>
      </c>
      <c r="O131" s="8"/>
      <c r="P131" s="7"/>
      <c r="Q131" s="7">
        <f>_xlfn.XLOOKUP(L131, [1]رواتب!B:B, [1]رواتب!S:S, "")</f>
        <v>7500</v>
      </c>
      <c r="R131" s="9">
        <f t="shared" ca="1" si="0"/>
        <v>35518</v>
      </c>
    </row>
    <row r="132" spans="11:18" x14ac:dyDescent="0.25">
      <c r="K132" s="10">
        <v>126</v>
      </c>
      <c r="L132" s="11">
        <v>1040</v>
      </c>
      <c r="M132" s="11" t="str">
        <f>IFERROR(VLOOKUP(L132, [2]رواتب!B:S, 6, FALSE), "مش موجود")</f>
        <v>محمد نصر محمد محمد عامر</v>
      </c>
      <c r="N132" s="12" t="str">
        <f>IFERROR(VLOOKUP(L132, [2]رواتب!B:S, 5, FALSE), "مش موجود")</f>
        <v>خط الفنيش 1</v>
      </c>
      <c r="O132" s="13"/>
      <c r="P132" s="12"/>
      <c r="Q132" s="12">
        <f>_xlfn.XLOOKUP(L132, [1]رواتب!B:B, [1]رواتب!S:S, "")</f>
        <v>7200</v>
      </c>
      <c r="R132" s="14">
        <f t="shared" ca="1" si="0"/>
        <v>36712</v>
      </c>
    </row>
    <row r="133" spans="11:18" x14ac:dyDescent="0.25">
      <c r="K133" s="5">
        <v>127</v>
      </c>
      <c r="L133" s="6">
        <v>2013</v>
      </c>
      <c r="M133" s="6" t="str">
        <f>IFERROR(VLOOKUP(L133, [2]رواتب!B:S, 6, FALSE), "مش موجود")</f>
        <v>راضي ابراهيم مقبل</v>
      </c>
      <c r="N133" s="7" t="str">
        <f>IFERROR(VLOOKUP(L133, [2]رواتب!B:S, 5, FALSE), "مش موجود")</f>
        <v>خط الفنيش 3</v>
      </c>
      <c r="O133" s="8"/>
      <c r="P133" s="7"/>
      <c r="Q133" s="7">
        <f>_xlfn.XLOOKUP(L133, [1]رواتب!B:B, [1]رواتب!S:S, "")</f>
        <v>7800</v>
      </c>
      <c r="R133" s="9">
        <f t="shared" ca="1" si="0"/>
        <v>23273</v>
      </c>
    </row>
    <row r="134" spans="11:18" x14ac:dyDescent="0.25">
      <c r="K134" s="10">
        <v>128</v>
      </c>
      <c r="L134" s="11">
        <v>2777</v>
      </c>
      <c r="M134" s="11" t="str">
        <f>IFERROR(VLOOKUP(L134, [2]رواتب!B:S, 6, FALSE), "مش موجود")</f>
        <v>اسلام عبده علي محمد عوض</v>
      </c>
      <c r="N134" s="12" t="str">
        <f>IFERROR(VLOOKUP(L134, [2]رواتب!B:S, 5, FALSE), "مش موجود")</f>
        <v>نهائي</v>
      </c>
      <c r="O134" s="13"/>
      <c r="P134" s="12"/>
      <c r="Q134" s="12">
        <f>_xlfn.XLOOKUP(L134, [1]رواتب!B:B, [1]رواتب!S:S, "")</f>
        <v>6500</v>
      </c>
      <c r="R134" s="14">
        <f t="shared" ca="1" si="0"/>
        <v>66079</v>
      </c>
    </row>
    <row r="135" spans="11:18" x14ac:dyDescent="0.25">
      <c r="K135" s="5">
        <v>129</v>
      </c>
      <c r="L135" s="6">
        <v>2320</v>
      </c>
      <c r="M135" s="6" t="str">
        <f>IFERROR(VLOOKUP(L135, [2]رواتب!B:S, 6, FALSE), "مش موجود")</f>
        <v>محمد السيد حمدي ابو النور</v>
      </c>
      <c r="N135" s="7" t="str">
        <f>IFERROR(VLOOKUP(L135, [2]رواتب!B:S, 5, FALSE), "مش موجود")</f>
        <v>نهائي</v>
      </c>
      <c r="O135" s="8"/>
      <c r="P135" s="7"/>
      <c r="Q135" s="7">
        <f>_xlfn.XLOOKUP(L135, [1]رواتب!B:B, [1]رواتب!S:S, "")</f>
        <v>5500</v>
      </c>
      <c r="R135" s="9">
        <f t="shared" ca="1" si="0"/>
        <v>69632</v>
      </c>
    </row>
    <row r="136" spans="11:18" x14ac:dyDescent="0.25">
      <c r="K136" s="10">
        <v>130</v>
      </c>
      <c r="L136" s="11">
        <v>3421</v>
      </c>
      <c r="M136" s="11" t="str">
        <f>IFERROR(VLOOKUP(L136, [2]رواتب!B:S, 6, FALSE), "مش موجود")</f>
        <v>منى محمد احمد علي السحراوي</v>
      </c>
      <c r="N136" s="12" t="str">
        <f>IFERROR(VLOOKUP(L136, [2]رواتب!B:S, 5, FALSE), "مش موجود")</f>
        <v>الجودة</v>
      </c>
      <c r="O136" s="13"/>
      <c r="P136" s="12"/>
      <c r="Q136" s="12">
        <f>_xlfn.XLOOKUP(L136, [1]رواتب!B:B, [1]رواتب!S:S, "")</f>
        <v>4500</v>
      </c>
      <c r="R136" s="14">
        <f t="shared" ca="1" si="0"/>
        <v>22526</v>
      </c>
    </row>
    <row r="137" spans="11:18" x14ac:dyDescent="0.25">
      <c r="K137" s="5">
        <v>131</v>
      </c>
      <c r="L137" s="6">
        <v>1032</v>
      </c>
      <c r="M137" s="6" t="str">
        <f>IFERROR(VLOOKUP(L137, [2]رواتب!B:S, 6, FALSE), "مش موجود")</f>
        <v>محمد فهيم على محمد عامر</v>
      </c>
      <c r="N137" s="7" t="str">
        <f>IFERROR(VLOOKUP(L137, [2]رواتب!B:S, 5, FALSE), "مش موجود")</f>
        <v>نهائي</v>
      </c>
      <c r="O137" s="8"/>
      <c r="P137" s="7"/>
      <c r="Q137" s="7">
        <f>_xlfn.XLOOKUP(L137, [1]رواتب!B:B, [1]رواتب!S:S, "")</f>
        <v>10000</v>
      </c>
      <c r="R137" s="9">
        <f t="shared" ca="1" si="0"/>
        <v>32124</v>
      </c>
    </row>
    <row r="138" spans="11:18" x14ac:dyDescent="0.25">
      <c r="K138" s="10">
        <v>132</v>
      </c>
      <c r="L138" s="11">
        <v>3606</v>
      </c>
      <c r="M138" s="11" t="str">
        <f>IFERROR(VLOOKUP(L138, [2]رواتب!B:S, 6, FALSE), "مش موجود")</f>
        <v>محمد صلاح المرسي احمد عبده</v>
      </c>
      <c r="N138" s="12" t="str">
        <f>IFERROR(VLOOKUP(L138, [2]رواتب!B:S, 5, FALSE), "مش موجود")</f>
        <v>المكواه</v>
      </c>
      <c r="O138" s="13"/>
      <c r="P138" s="12"/>
      <c r="Q138" s="12">
        <f>_xlfn.XLOOKUP(L138, [1]رواتب!B:B, [1]رواتب!S:S, "")</f>
        <v>4500</v>
      </c>
      <c r="R138" s="14">
        <f t="shared" ca="1" si="0"/>
        <v>39787</v>
      </c>
    </row>
    <row r="139" spans="11:18" x14ac:dyDescent="0.25">
      <c r="K139" s="5">
        <v>133</v>
      </c>
      <c r="L139" s="6">
        <v>2062</v>
      </c>
      <c r="M139" s="6" t="str">
        <f>IFERROR(VLOOKUP(L139, [2]رواتب!B:S, 6, FALSE), "مش موجود")</f>
        <v xml:space="preserve">هيام عبد الباري </v>
      </c>
      <c r="N139" s="7" t="str">
        <f>IFERROR(VLOOKUP(L139, [2]رواتب!B:S, 5, FALSE), "مش موجود")</f>
        <v>خط الفنيش 3</v>
      </c>
      <c r="O139" s="8"/>
      <c r="P139" s="7"/>
      <c r="Q139" s="7">
        <f>_xlfn.XLOOKUP(L139, [1]رواتب!B:B, [1]رواتب!S:S, "")</f>
        <v>7500</v>
      </c>
      <c r="R139" s="9">
        <f t="shared" ca="1" si="0"/>
        <v>81733</v>
      </c>
    </row>
    <row r="140" spans="11:18" x14ac:dyDescent="0.25">
      <c r="K140" s="10">
        <v>134</v>
      </c>
      <c r="L140" s="11">
        <v>2630</v>
      </c>
      <c r="M140" s="11" t="str">
        <f>IFERROR(VLOOKUP(L140, [2]رواتب!B:S, 6, FALSE), "مش موجود")</f>
        <v>صفوة جمال يوسف سليم</v>
      </c>
      <c r="N140" s="12" t="str">
        <f>IFERROR(VLOOKUP(L140, [2]رواتب!B:S, 5, FALSE), "مش موجود")</f>
        <v>الإدارة الفنية</v>
      </c>
      <c r="O140" s="13"/>
      <c r="P140" s="12"/>
      <c r="Q140" s="12">
        <f>_xlfn.XLOOKUP(L140, [1]رواتب!B:B, [1]رواتب!S:S, "")</f>
        <v>7000</v>
      </c>
      <c r="R140" s="14">
        <f t="shared" ca="1" si="0"/>
        <v>12865</v>
      </c>
    </row>
    <row r="141" spans="11:18" x14ac:dyDescent="0.25">
      <c r="K141" s="5">
        <v>135</v>
      </c>
      <c r="L141" s="6">
        <v>1002</v>
      </c>
      <c r="M141" s="6" t="str">
        <f>IFERROR(VLOOKUP(L141, [2]رواتب!B:S, 6, FALSE), "مش موجود")</f>
        <v>دنيا محمد حسن الحريرى</v>
      </c>
      <c r="N141" s="7" t="str">
        <f>IFERROR(VLOOKUP(L141, [2]رواتب!B:S, 5, FALSE), "مش موجود")</f>
        <v>الإدارة</v>
      </c>
      <c r="O141" s="8"/>
      <c r="P141" s="7"/>
      <c r="Q141" s="7">
        <f>_xlfn.XLOOKUP(L141, [1]رواتب!B:B, [1]رواتب!S:S, "")</f>
        <v>7500</v>
      </c>
      <c r="R141" s="9">
        <f t="shared" ca="1" si="0"/>
        <v>44525</v>
      </c>
    </row>
    <row r="142" spans="11:18" x14ac:dyDescent="0.25">
      <c r="K142" s="10">
        <v>136</v>
      </c>
      <c r="L142" s="11">
        <v>2224</v>
      </c>
      <c r="M142" s="11" t="str">
        <f>IFERROR(VLOOKUP(L142, [2]رواتب!B:S, 6, FALSE), "مش موجود")</f>
        <v>شهد عوض العاصي</v>
      </c>
      <c r="N142" s="12" t="str">
        <f>IFERROR(VLOOKUP(L142, [2]رواتب!B:S, 5, FALSE), "مش موجود")</f>
        <v>خط الصدر 2</v>
      </c>
      <c r="O142" s="13"/>
      <c r="P142" s="12"/>
      <c r="Q142" s="12">
        <f>_xlfn.XLOOKUP(L142, [1]رواتب!B:B, [1]رواتب!S:S, "")</f>
        <v>3000</v>
      </c>
      <c r="R142" s="14">
        <f t="shared" ca="1" si="0"/>
        <v>13962</v>
      </c>
    </row>
    <row r="143" spans="11:18" x14ac:dyDescent="0.25">
      <c r="K143" s="5">
        <v>137</v>
      </c>
      <c r="L143" s="6">
        <v>72</v>
      </c>
      <c r="M143" s="6" t="str">
        <f>IFERROR(VLOOKUP(L143, [2]رواتب!B:S, 6, FALSE), "مش موجود")</f>
        <v>اسماء رضا احمد علي هلال</v>
      </c>
      <c r="N143" s="7" t="str">
        <f>IFERROR(VLOOKUP(L143, [2]رواتب!B:S, 5, FALSE), "مش موجود")</f>
        <v>خط الظهر 1</v>
      </c>
      <c r="O143" s="8"/>
      <c r="P143" s="7"/>
      <c r="Q143" s="7">
        <f>_xlfn.XLOOKUP(L143, [1]رواتب!B:B, [1]رواتب!S:S, "")</f>
        <v>3000</v>
      </c>
      <c r="R143" s="9">
        <f t="shared" ca="1" si="0"/>
        <v>64236</v>
      </c>
    </row>
    <row r="144" spans="11:18" x14ac:dyDescent="0.25">
      <c r="K144" s="10">
        <v>138</v>
      </c>
      <c r="L144" s="11">
        <v>2100</v>
      </c>
      <c r="M144" s="11" t="str">
        <f>IFERROR(VLOOKUP(L144, [2]رواتب!B:S, 6, FALSE), "مش موجود")</f>
        <v>نجوى الحسيني السيد علي</v>
      </c>
      <c r="N144" s="12" t="str">
        <f>IFERROR(VLOOKUP(L144, [2]رواتب!B:S, 5, FALSE), "مش موجود")</f>
        <v>عراوي</v>
      </c>
      <c r="O144" s="13"/>
      <c r="P144" s="12"/>
      <c r="Q144" s="12">
        <f>_xlfn.XLOOKUP(L144, [1]رواتب!B:B, [1]رواتب!S:S, "")</f>
        <v>6500</v>
      </c>
      <c r="R144" s="14">
        <f t="shared" ca="1" si="0"/>
        <v>80949</v>
      </c>
    </row>
    <row r="145" spans="11:18" x14ac:dyDescent="0.25">
      <c r="K145" s="5">
        <v>139</v>
      </c>
      <c r="L145" s="6">
        <v>2075</v>
      </c>
      <c r="M145" s="6" t="str">
        <f>IFERROR(VLOOKUP(L145, [2]رواتب!B:S, 6, FALSE), "مش موجود")</f>
        <v>اميرة المتولي السعيد</v>
      </c>
      <c r="N145" s="7" t="str">
        <f>IFERROR(VLOOKUP(L145, [2]رواتب!B:S, 5, FALSE), "مش موجود")</f>
        <v>خط الفنيش 1</v>
      </c>
      <c r="O145" s="8"/>
      <c r="P145" s="7"/>
      <c r="Q145" s="7">
        <f>_xlfn.XLOOKUP(L145, [1]رواتب!B:B, [1]رواتب!S:S, "")</f>
        <v>8000</v>
      </c>
      <c r="R145" s="9">
        <f t="shared" ca="1" si="0"/>
        <v>31346</v>
      </c>
    </row>
    <row r="146" spans="11:18" x14ac:dyDescent="0.25">
      <c r="K146" s="10">
        <v>140</v>
      </c>
      <c r="L146" s="11">
        <v>3485</v>
      </c>
      <c r="M146" s="11" t="str">
        <f>IFERROR(VLOOKUP(L146, [2]رواتب!B:S, 6, FALSE), "مش موجود")</f>
        <v>محمد ابراهيم محمد حسن نويصر</v>
      </c>
      <c r="N146" s="12" t="str">
        <f>IFERROR(VLOOKUP(L146, [2]رواتب!B:S, 5, FALSE), "مش موجود")</f>
        <v>خط الفنيش 2</v>
      </c>
      <c r="O146" s="13"/>
      <c r="P146" s="12"/>
      <c r="Q146" s="12">
        <f>_xlfn.XLOOKUP(L146, [1]رواتب!B:B, [1]رواتب!S:S, "")</f>
        <v>11000</v>
      </c>
      <c r="R146" s="14">
        <f t="shared" ca="1" si="0"/>
        <v>51285</v>
      </c>
    </row>
    <row r="147" spans="11:18" x14ac:dyDescent="0.25">
      <c r="K147" s="5">
        <v>141</v>
      </c>
      <c r="L147" s="6">
        <v>1072</v>
      </c>
      <c r="M147" s="6" t="str">
        <f>IFERROR(VLOOKUP(L147, [2]رواتب!B:S, 6, FALSE), "مش موجود")</f>
        <v>محفوظ وهيب احمد احمد</v>
      </c>
      <c r="N147" s="7" t="str">
        <f>IFERROR(VLOOKUP(L147, [2]رواتب!B:S, 5, FALSE), "مش موجود")</f>
        <v>خط الظهر 3</v>
      </c>
      <c r="O147" s="8"/>
      <c r="P147" s="7"/>
      <c r="Q147" s="7">
        <f>_xlfn.XLOOKUP(L147, [1]رواتب!B:B, [1]رواتب!S:S, "")</f>
        <v>8000</v>
      </c>
      <c r="R147" s="9">
        <f t="shared" ca="1" si="0"/>
        <v>33727</v>
      </c>
    </row>
    <row r="148" spans="11:18" x14ac:dyDescent="0.25">
      <c r="K148" s="10">
        <v>142</v>
      </c>
      <c r="L148" s="11">
        <v>2234</v>
      </c>
      <c r="M148" s="11" t="str">
        <f>IFERROR(VLOOKUP(L148, [2]رواتب!B:S, 6, FALSE), "مش موجود")</f>
        <v xml:space="preserve">عبدالله محمد السيد </v>
      </c>
      <c r="N148" s="12" t="str">
        <f>IFERROR(VLOOKUP(L148, [2]رواتب!B:S, 5, FALSE), "مش موجود")</f>
        <v>خط الظهر 1</v>
      </c>
      <c r="O148" s="13"/>
      <c r="P148" s="12"/>
      <c r="Q148" s="12">
        <f>_xlfn.XLOOKUP(L148, [1]رواتب!B:B, [1]رواتب!S:S, "")</f>
        <v>6500</v>
      </c>
      <c r="R148" s="14">
        <f t="shared" ca="1" si="0"/>
        <v>37127</v>
      </c>
    </row>
    <row r="149" spans="11:18" x14ac:dyDescent="0.25">
      <c r="K149" s="5">
        <v>143</v>
      </c>
      <c r="L149" s="6">
        <v>3225</v>
      </c>
      <c r="M149" s="6" t="str">
        <f>IFERROR(VLOOKUP(L149, [2]رواتب!B:S, 6, FALSE), "مش موجود")</f>
        <v>عزيزة مقبل احمد مقبل خليل</v>
      </c>
      <c r="N149" s="7" t="str">
        <f>IFERROR(VLOOKUP(L149, [2]رواتب!B:S, 5, FALSE), "مش موجود")</f>
        <v>عراوي</v>
      </c>
      <c r="O149" s="8"/>
      <c r="P149" s="7"/>
      <c r="Q149" s="7">
        <f>_xlfn.XLOOKUP(L149, [1]رواتب!B:B, [1]رواتب!S:S, "")</f>
        <v>5000</v>
      </c>
      <c r="R149" s="9">
        <f t="shared" ca="1" si="0"/>
        <v>41475</v>
      </c>
    </row>
    <row r="150" spans="11:18" x14ac:dyDescent="0.25">
      <c r="K150" s="10">
        <v>144</v>
      </c>
      <c r="L150" s="11">
        <v>3317</v>
      </c>
      <c r="M150" s="11" t="str">
        <f>IFERROR(VLOOKUP(L150, [2]رواتب!B:S, 6, FALSE), "مش موجود")</f>
        <v>محمد علي محمد عبدالرحيم العاصي</v>
      </c>
      <c r="N150" s="12" t="str">
        <f>IFERROR(VLOOKUP(L150, [2]رواتب!B:S, 5, FALSE), "مش موجود")</f>
        <v>خط الظهر 3</v>
      </c>
      <c r="O150" s="13"/>
      <c r="P150" s="12"/>
      <c r="Q150" s="12">
        <f>_xlfn.XLOOKUP(L150, [1]رواتب!B:B, [1]رواتب!S:S, "")</f>
        <v>9000</v>
      </c>
      <c r="R150" s="14">
        <f t="shared" ca="1" si="0"/>
        <v>60672</v>
      </c>
    </row>
    <row r="151" spans="11:18" x14ac:dyDescent="0.25">
      <c r="K151" s="5">
        <v>145</v>
      </c>
      <c r="L151" s="6">
        <v>3560</v>
      </c>
      <c r="M151" s="6" t="str">
        <f>IFERROR(VLOOKUP(L151, [2]رواتب!B:S, 6, FALSE), "مش موجود")</f>
        <v>محمود عبدالله محمد ابراهيم احمد عبدالله</v>
      </c>
      <c r="N151" s="7" t="str">
        <f>IFERROR(VLOOKUP(L151, [2]رواتب!B:S, 5, FALSE), "مش موجود")</f>
        <v>القص</v>
      </c>
      <c r="O151" s="8"/>
      <c r="P151" s="7"/>
      <c r="Q151" s="7">
        <f>_xlfn.XLOOKUP(L151, [1]رواتب!B:B, [1]رواتب!S:S, "")</f>
        <v>5650</v>
      </c>
      <c r="R151" s="9">
        <f t="shared" ref="R151:R214" ca="1" si="1">RANDBETWEEN(10000,99999)</f>
        <v>95317</v>
      </c>
    </row>
    <row r="152" spans="11:18" x14ac:dyDescent="0.25">
      <c r="K152" s="10">
        <v>146</v>
      </c>
      <c r="L152" s="11">
        <v>2423</v>
      </c>
      <c r="M152" s="11" t="str">
        <f>IFERROR(VLOOKUP(L152, [2]رواتب!B:S, 6, FALSE), "مش موجود")</f>
        <v xml:space="preserve">زياد سعد السيد احمد محمد </v>
      </c>
      <c r="N152" s="12" t="str">
        <f>IFERROR(VLOOKUP(L152, [2]رواتب!B:S, 5, FALSE), "مش موجود")</f>
        <v>خط الظهر 1</v>
      </c>
      <c r="O152" s="13"/>
      <c r="P152" s="12"/>
      <c r="Q152" s="12">
        <f>_xlfn.XLOOKUP(L152, [1]رواتب!B:B, [1]رواتب!S:S, "")</f>
        <v>5500</v>
      </c>
      <c r="R152" s="14">
        <f t="shared" ca="1" si="1"/>
        <v>91560</v>
      </c>
    </row>
    <row r="153" spans="11:18" x14ac:dyDescent="0.25">
      <c r="K153" s="5">
        <v>147</v>
      </c>
      <c r="L153" s="6">
        <v>2056</v>
      </c>
      <c r="M153" s="6" t="str">
        <f>IFERROR(VLOOKUP(L153, [2]رواتب!B:S, 6, FALSE), "مش موجود")</f>
        <v xml:space="preserve">السيده محمد حسن ( رباح ) </v>
      </c>
      <c r="N153" s="7" t="str">
        <f>IFERROR(VLOOKUP(L153, [2]رواتب!B:S, 5, FALSE), "مش موجود")</f>
        <v>خط الظهر 1</v>
      </c>
      <c r="O153" s="8"/>
      <c r="P153" s="7"/>
      <c r="Q153" s="7">
        <f>_xlfn.XLOOKUP(L153, [1]رواتب!B:B, [1]رواتب!S:S, "")</f>
        <v>6000</v>
      </c>
      <c r="R153" s="9">
        <f t="shared" ca="1" si="1"/>
        <v>80326</v>
      </c>
    </row>
    <row r="154" spans="11:18" x14ac:dyDescent="0.25">
      <c r="K154" s="10">
        <v>148</v>
      </c>
      <c r="L154" s="11">
        <v>3452</v>
      </c>
      <c r="M154" s="11" t="str">
        <f>IFERROR(VLOOKUP(L154, [2]رواتب!B:S, 6, FALSE), "مش موجود")</f>
        <v>عبدالرحمن احمد صالح ابراهيم</v>
      </c>
      <c r="N154" s="12" t="str">
        <f>IFERROR(VLOOKUP(L154, [2]رواتب!B:S, 5, FALSE), "مش موجود")</f>
        <v>نهائي</v>
      </c>
      <c r="O154" s="13"/>
      <c r="P154" s="12"/>
      <c r="Q154" s="12">
        <f>_xlfn.XLOOKUP(L154, [1]رواتب!B:B, [1]رواتب!S:S, "")</f>
        <v>5000</v>
      </c>
      <c r="R154" s="14">
        <f t="shared" ca="1" si="1"/>
        <v>22893</v>
      </c>
    </row>
    <row r="155" spans="11:18" x14ac:dyDescent="0.25">
      <c r="K155" s="5">
        <v>149</v>
      </c>
      <c r="L155" s="6">
        <v>3451</v>
      </c>
      <c r="M155" s="6" t="str">
        <f>IFERROR(VLOOKUP(L155, [2]رواتب!B:S, 6, FALSE), "مش موجود")</f>
        <v>محمد عبده عبده محمد حسن</v>
      </c>
      <c r="N155" s="7" t="str">
        <f>IFERROR(VLOOKUP(L155, [2]رواتب!B:S, 5, FALSE), "مش موجود")</f>
        <v>نهائي</v>
      </c>
      <c r="O155" s="8"/>
      <c r="P155" s="7"/>
      <c r="Q155" s="7">
        <f>_xlfn.XLOOKUP(L155, [1]رواتب!B:B, [1]رواتب!S:S, "")</f>
        <v>4500</v>
      </c>
      <c r="R155" s="9">
        <f t="shared" ca="1" si="1"/>
        <v>95906</v>
      </c>
    </row>
    <row r="156" spans="11:18" x14ac:dyDescent="0.25">
      <c r="K156" s="10">
        <v>150</v>
      </c>
      <c r="L156" s="11">
        <v>2581</v>
      </c>
      <c r="M156" s="11" t="str">
        <f>IFERROR(VLOOKUP(L156, [2]رواتب!B:S, 6, FALSE), "مش موجود")</f>
        <v>اسلام عثمان فريد محمد حمودة</v>
      </c>
      <c r="N156" s="12" t="str">
        <f>IFERROR(VLOOKUP(L156, [2]رواتب!B:S, 5, FALSE), "مش موجود")</f>
        <v>خط الفنيش 1</v>
      </c>
      <c r="O156" s="13"/>
      <c r="P156" s="12"/>
      <c r="Q156" s="12">
        <f>_xlfn.XLOOKUP(L156, [1]رواتب!B:B, [1]رواتب!S:S, "")</f>
        <v>3800</v>
      </c>
      <c r="R156" s="14">
        <f t="shared" ca="1" si="1"/>
        <v>65664</v>
      </c>
    </row>
    <row r="157" spans="11:18" x14ac:dyDescent="0.25">
      <c r="K157" s="5">
        <v>151</v>
      </c>
      <c r="L157" s="6">
        <v>2712</v>
      </c>
      <c r="M157" s="6" t="str">
        <f>IFERROR(VLOOKUP(L157, [2]رواتب!B:S, 6, FALSE), "مش موجود")</f>
        <v>ميرنا خالد احمد الشناوي</v>
      </c>
      <c r="N157" s="7" t="str">
        <f>IFERROR(VLOOKUP(L157, [2]رواتب!B:S, 5, FALSE), "مش موجود")</f>
        <v>الإدارة الفنية</v>
      </c>
      <c r="O157" s="8"/>
      <c r="P157" s="7"/>
      <c r="Q157" s="7">
        <f>_xlfn.XLOOKUP(L157, [1]رواتب!B:B, [1]رواتب!S:S, "")</f>
        <v>7000</v>
      </c>
      <c r="R157" s="9">
        <f t="shared" ca="1" si="1"/>
        <v>47813</v>
      </c>
    </row>
    <row r="158" spans="11:18" x14ac:dyDescent="0.25">
      <c r="K158" s="10">
        <v>152</v>
      </c>
      <c r="L158" s="11">
        <v>3425</v>
      </c>
      <c r="M158" s="11" t="str">
        <f>IFERROR(VLOOKUP(L158, [2]رواتب!B:S, 6, FALSE), "مش موجود")</f>
        <v>ايه المرغني السيد غربية</v>
      </c>
      <c r="N158" s="12" t="str">
        <f>IFERROR(VLOOKUP(L158, [2]رواتب!B:S, 5, FALSE), "مش موجود")</f>
        <v>الإدارة</v>
      </c>
      <c r="O158" s="13"/>
      <c r="P158" s="12"/>
      <c r="Q158" s="12">
        <f>_xlfn.XLOOKUP(L158, [1]رواتب!B:B, [1]رواتب!S:S, "")</f>
        <v>4500</v>
      </c>
      <c r="R158" s="14">
        <f t="shared" ca="1" si="1"/>
        <v>65696</v>
      </c>
    </row>
    <row r="159" spans="11:18" x14ac:dyDescent="0.25">
      <c r="K159" s="5">
        <v>153</v>
      </c>
      <c r="L159" s="6">
        <v>2612</v>
      </c>
      <c r="M159" s="6" t="str">
        <f>IFERROR(VLOOKUP(L159, [2]رواتب!B:S, 6, FALSE), "مش موجود")</f>
        <v>محمد صبري السيد محمد</v>
      </c>
      <c r="N159" s="7" t="str">
        <f>IFERROR(VLOOKUP(L159, [2]رواتب!B:S, 5, FALSE), "مش موجود")</f>
        <v>خط الظهر 3</v>
      </c>
      <c r="O159" s="8"/>
      <c r="P159" s="7"/>
      <c r="Q159" s="7">
        <f>_xlfn.XLOOKUP(L159, [1]رواتب!B:B, [1]رواتب!S:S, "")</f>
        <v>8500</v>
      </c>
      <c r="R159" s="9">
        <f t="shared" ca="1" si="1"/>
        <v>76775</v>
      </c>
    </row>
    <row r="160" spans="11:18" x14ac:dyDescent="0.25">
      <c r="K160" s="10">
        <v>154</v>
      </c>
      <c r="L160" s="11">
        <v>3263</v>
      </c>
      <c r="M160" s="11" t="str">
        <f>IFERROR(VLOOKUP(L160, [2]رواتب!B:S, 6, FALSE), "مش موجود")</f>
        <v>هشام ابراهيم الدسوقي ابو العطا</v>
      </c>
      <c r="N160" s="12" t="str">
        <f>IFERROR(VLOOKUP(L160, [2]رواتب!B:S, 5, FALSE), "مش موجود")</f>
        <v>المكواه</v>
      </c>
      <c r="O160" s="13"/>
      <c r="P160" s="12"/>
      <c r="Q160" s="12">
        <f>_xlfn.XLOOKUP(L160, [1]رواتب!B:B, [1]رواتب!S:S, "")</f>
        <v>6200</v>
      </c>
      <c r="R160" s="14">
        <f t="shared" ca="1" si="1"/>
        <v>37403</v>
      </c>
    </row>
    <row r="161" spans="11:18" x14ac:dyDescent="0.25">
      <c r="K161" s="5">
        <v>155</v>
      </c>
      <c r="L161" s="6">
        <v>3573</v>
      </c>
      <c r="M161" s="6" t="str">
        <f>IFERROR(VLOOKUP(L161, [2]رواتب!B:S, 6, FALSE), "مش موجود")</f>
        <v>دعاء جمال احمد الشوة</v>
      </c>
      <c r="N161" s="7" t="str">
        <f>IFERROR(VLOOKUP(L161, [2]رواتب!B:S, 5, FALSE), "مش موجود")</f>
        <v>خط الظهر 3</v>
      </c>
      <c r="O161" s="8"/>
      <c r="P161" s="7"/>
      <c r="Q161" s="7">
        <f>_xlfn.XLOOKUP(L161, [1]رواتب!B:B, [1]رواتب!S:S, "")</f>
        <v>3500</v>
      </c>
      <c r="R161" s="9">
        <f t="shared" ca="1" si="1"/>
        <v>81463</v>
      </c>
    </row>
    <row r="162" spans="11:18" x14ac:dyDescent="0.25">
      <c r="K162" s="10">
        <v>156</v>
      </c>
      <c r="L162" s="11">
        <v>2160</v>
      </c>
      <c r="M162" s="11" t="str">
        <f>IFERROR(VLOOKUP(L162, [2]رواتب!B:S, 6, FALSE), "مش موجود")</f>
        <v xml:space="preserve">سامية محمد حافظ </v>
      </c>
      <c r="N162" s="12" t="str">
        <f>IFERROR(VLOOKUP(L162, [2]رواتب!B:S, 5, FALSE), "مش موجود")</f>
        <v>خط الظهر 1</v>
      </c>
      <c r="O162" s="13"/>
      <c r="P162" s="12"/>
      <c r="Q162" s="12">
        <f>_xlfn.XLOOKUP(L162, [1]رواتب!B:B, [1]رواتب!S:S, "")</f>
        <v>6000</v>
      </c>
      <c r="R162" s="14">
        <f t="shared" ca="1" si="1"/>
        <v>91841</v>
      </c>
    </row>
    <row r="163" spans="11:18" x14ac:dyDescent="0.25">
      <c r="K163" s="5">
        <v>157</v>
      </c>
      <c r="L163" s="6">
        <v>2631</v>
      </c>
      <c r="M163" s="6" t="str">
        <f>IFERROR(VLOOKUP(L163, [2]رواتب!B:S, 6, FALSE), "مش موجود")</f>
        <v>اشرف عمرو محمد السيد حسانين</v>
      </c>
      <c r="N163" s="7" t="str">
        <f>IFERROR(VLOOKUP(L163, [2]رواتب!B:S, 5, FALSE), "مش موجود")</f>
        <v>خط الصدر 3</v>
      </c>
      <c r="O163" s="8"/>
      <c r="P163" s="7"/>
      <c r="Q163" s="7">
        <f>_xlfn.XLOOKUP(L163, [1]رواتب!B:B, [1]رواتب!S:S, "")</f>
        <v>6300</v>
      </c>
      <c r="R163" s="9">
        <f t="shared" ca="1" si="1"/>
        <v>18079</v>
      </c>
    </row>
    <row r="164" spans="11:18" x14ac:dyDescent="0.25">
      <c r="K164" s="10">
        <v>158</v>
      </c>
      <c r="L164" s="11">
        <v>3607</v>
      </c>
      <c r="M164" s="11" t="str">
        <f>IFERROR(VLOOKUP(L164, [2]رواتب!B:S, 6, FALSE), "مش موجود")</f>
        <v>نورهان السعيد احمد احمد سيد احمد</v>
      </c>
      <c r="N164" s="12" t="str">
        <f>IFERROR(VLOOKUP(L164, [2]رواتب!B:S, 5, FALSE), "مش موجود")</f>
        <v>نهائي</v>
      </c>
      <c r="O164" s="13"/>
      <c r="P164" s="12"/>
      <c r="Q164" s="12">
        <f>_xlfn.XLOOKUP(L164, [1]رواتب!B:B, [1]رواتب!S:S, "")</f>
        <v>4500</v>
      </c>
      <c r="R164" s="14">
        <f t="shared" ca="1" si="1"/>
        <v>14469</v>
      </c>
    </row>
    <row r="165" spans="11:18" x14ac:dyDescent="0.25">
      <c r="K165" s="5">
        <v>159</v>
      </c>
      <c r="L165" s="6">
        <v>2406</v>
      </c>
      <c r="M165" s="6" t="str">
        <f>IFERROR(VLOOKUP(L165, [2]رواتب!B:S, 6, FALSE), "مش موجود")</f>
        <v>شيرين محمد على تمراز الكناني</v>
      </c>
      <c r="N165" s="7" t="str">
        <f>IFERROR(VLOOKUP(L165, [2]رواتب!B:S, 5, FALSE), "مش موجود")</f>
        <v>الجودة</v>
      </c>
      <c r="O165" s="8"/>
      <c r="P165" s="7"/>
      <c r="Q165" s="7">
        <f>_xlfn.XLOOKUP(L165, [1]رواتب!B:B, [1]رواتب!S:S, "")</f>
        <v>6500</v>
      </c>
      <c r="R165" s="9">
        <f t="shared" ca="1" si="1"/>
        <v>26855</v>
      </c>
    </row>
    <row r="166" spans="11:18" x14ac:dyDescent="0.25">
      <c r="K166" s="10">
        <v>160</v>
      </c>
      <c r="L166" s="11">
        <v>2341</v>
      </c>
      <c r="M166" s="11" t="str">
        <f>IFERROR(VLOOKUP(L166, [2]رواتب!B:S, 6, FALSE), "مش موجود")</f>
        <v>ندى عبدالله عبده الزيني</v>
      </c>
      <c r="N166" s="12" t="str">
        <f>IFERROR(VLOOKUP(L166, [2]رواتب!B:S, 5, FALSE), "مش موجود")</f>
        <v>الجودة</v>
      </c>
      <c r="O166" s="13"/>
      <c r="P166" s="12"/>
      <c r="Q166" s="12">
        <f>_xlfn.XLOOKUP(L166, [1]رواتب!B:B, [1]رواتب!S:S, "")</f>
        <v>4500</v>
      </c>
      <c r="R166" s="14">
        <f t="shared" ca="1" si="1"/>
        <v>73969</v>
      </c>
    </row>
    <row r="167" spans="11:18" x14ac:dyDescent="0.25">
      <c r="K167" s="5">
        <v>161</v>
      </c>
      <c r="L167" s="6">
        <v>3267</v>
      </c>
      <c r="M167" s="6" t="str">
        <f>IFERROR(VLOOKUP(L167, [2]رواتب!B:S, 6, FALSE), "مش موجود")</f>
        <v>سمر ابراهيم عبده محمد ماضي</v>
      </c>
      <c r="N167" s="7" t="str">
        <f>IFERROR(VLOOKUP(L167, [2]رواتب!B:S, 5, FALSE), "مش موجود")</f>
        <v>خط الصدر 3</v>
      </c>
      <c r="O167" s="8"/>
      <c r="P167" s="7"/>
      <c r="Q167" s="7">
        <f>_xlfn.XLOOKUP(L167, [1]رواتب!B:B, [1]رواتب!S:S, "")</f>
        <v>6000</v>
      </c>
      <c r="R167" s="9">
        <f t="shared" ca="1" si="1"/>
        <v>40444</v>
      </c>
    </row>
    <row r="168" spans="11:18" x14ac:dyDescent="0.25">
      <c r="K168" s="10">
        <v>162</v>
      </c>
      <c r="L168" s="11">
        <v>2356</v>
      </c>
      <c r="M168" s="11" t="str">
        <f>IFERROR(VLOOKUP(L168, [2]رواتب!B:S, 6, FALSE), "مش موجود")</f>
        <v xml:space="preserve">سماح محمد محمود طه </v>
      </c>
      <c r="N168" s="12" t="str">
        <f>IFERROR(VLOOKUP(L168, [2]رواتب!B:S, 5, FALSE), "مش موجود")</f>
        <v>خط الصدر 3</v>
      </c>
      <c r="O168" s="13"/>
      <c r="P168" s="12"/>
      <c r="Q168" s="12">
        <f>_xlfn.XLOOKUP(L168, [1]رواتب!B:B, [1]رواتب!S:S, "")</f>
        <v>6800</v>
      </c>
      <c r="R168" s="14">
        <f t="shared" ca="1" si="1"/>
        <v>20132</v>
      </c>
    </row>
    <row r="169" spans="11:18" x14ac:dyDescent="0.25">
      <c r="K169" s="5">
        <v>163</v>
      </c>
      <c r="L169" s="6">
        <v>3080</v>
      </c>
      <c r="M169" s="6" t="str">
        <f>IFERROR(VLOOKUP(L169, [2]رواتب!B:S, 6, FALSE), "مش موجود")</f>
        <v>احمد علي حسن عطية</v>
      </c>
      <c r="N169" s="7" t="str">
        <f>IFERROR(VLOOKUP(L169, [2]رواتب!B:S, 5, FALSE), "مش موجود")</f>
        <v>المكواه</v>
      </c>
      <c r="O169" s="8"/>
      <c r="P169" s="7"/>
      <c r="Q169" s="7">
        <f>_xlfn.XLOOKUP(L169, [1]رواتب!B:B, [1]رواتب!S:S, "")</f>
        <v>4600</v>
      </c>
      <c r="R169" s="9">
        <f t="shared" ca="1" si="1"/>
        <v>48253</v>
      </c>
    </row>
    <row r="170" spans="11:18" x14ac:dyDescent="0.25">
      <c r="K170" s="10">
        <v>164</v>
      </c>
      <c r="L170" s="11">
        <v>2266</v>
      </c>
      <c r="M170" s="11" t="str">
        <f>IFERROR(VLOOKUP(L170, [2]رواتب!B:S, 6, FALSE), "مش موجود")</f>
        <v xml:space="preserve">اسماء العاصي </v>
      </c>
      <c r="N170" s="12" t="str">
        <f>IFERROR(VLOOKUP(L170, [2]رواتب!B:S, 5, FALSE), "مش موجود")</f>
        <v>خط الصدر 3</v>
      </c>
      <c r="O170" s="13"/>
      <c r="P170" s="12"/>
      <c r="Q170" s="12">
        <f>_xlfn.XLOOKUP(L170, [1]رواتب!B:B, [1]رواتب!S:S, "")</f>
        <v>6300</v>
      </c>
      <c r="R170" s="14">
        <f t="shared" ca="1" si="1"/>
        <v>28156</v>
      </c>
    </row>
    <row r="171" spans="11:18" x14ac:dyDescent="0.25">
      <c r="K171" s="5">
        <v>165</v>
      </c>
      <c r="L171" s="6">
        <v>2732</v>
      </c>
      <c r="M171" s="6" t="str">
        <f>IFERROR(VLOOKUP(L171, [2]رواتب!B:S, 6, FALSE), "مش موجود")</f>
        <v>احمد محمد طاهر البربري</v>
      </c>
      <c r="N171" s="7" t="str">
        <f>IFERROR(VLOOKUP(L171, [2]رواتب!B:S, 5, FALSE), "مش موجود")</f>
        <v>العينات</v>
      </c>
      <c r="O171" s="8"/>
      <c r="P171" s="7"/>
      <c r="Q171" s="7">
        <f>_xlfn.XLOOKUP(L171, [1]رواتب!B:B, [1]رواتب!S:S, "")</f>
        <v>10000</v>
      </c>
      <c r="R171" s="9">
        <f t="shared" ca="1" si="1"/>
        <v>93042</v>
      </c>
    </row>
    <row r="172" spans="11:18" x14ac:dyDescent="0.25">
      <c r="K172" s="10">
        <v>166</v>
      </c>
      <c r="L172" s="11">
        <v>3463</v>
      </c>
      <c r="M172" s="11" t="str">
        <f>IFERROR(VLOOKUP(L172, [2]رواتب!B:S, 6, FALSE), "مش موجود")</f>
        <v>اسماء مفرح عبده قريع</v>
      </c>
      <c r="N172" s="12" t="str">
        <f>IFERROR(VLOOKUP(L172, [2]رواتب!B:S, 5, FALSE), "مش موجود")</f>
        <v>خط الظهر 1</v>
      </c>
      <c r="O172" s="13"/>
      <c r="P172" s="12"/>
      <c r="Q172" s="12">
        <f>_xlfn.XLOOKUP(L172, [1]رواتب!B:B, [1]رواتب!S:S, "")</f>
        <v>3400</v>
      </c>
      <c r="R172" s="14">
        <f t="shared" ca="1" si="1"/>
        <v>37613</v>
      </c>
    </row>
    <row r="173" spans="11:18" x14ac:dyDescent="0.25">
      <c r="K173" s="5">
        <v>167</v>
      </c>
      <c r="L173" s="6">
        <v>1099</v>
      </c>
      <c r="M173" s="6" t="str">
        <f>IFERROR(VLOOKUP(L173, [2]رواتب!B:S, 6, FALSE), "مش موجود")</f>
        <v>نادية فاروق ابو الوفا محمد</v>
      </c>
      <c r="N173" s="7" t="str">
        <f>IFERROR(VLOOKUP(L173, [2]رواتب!B:S, 5, FALSE), "مش موجود")</f>
        <v>خط الصدر 2</v>
      </c>
      <c r="O173" s="8"/>
      <c r="P173" s="7"/>
      <c r="Q173" s="7">
        <f>_xlfn.XLOOKUP(L173, [1]رواتب!B:B, [1]رواتب!S:S, "")</f>
        <v>10000</v>
      </c>
      <c r="R173" s="9">
        <f t="shared" ca="1" si="1"/>
        <v>93900</v>
      </c>
    </row>
    <row r="174" spans="11:18" x14ac:dyDescent="0.25">
      <c r="K174" s="10">
        <v>168</v>
      </c>
      <c r="L174" s="11">
        <v>3242</v>
      </c>
      <c r="M174" s="11" t="str">
        <f>IFERROR(VLOOKUP(L174, [2]رواتب!B:S, 6, FALSE), "مش موجود")</f>
        <v>محمد المتولي محمد السعيد شلضم</v>
      </c>
      <c r="N174" s="12" t="str">
        <f>IFERROR(VLOOKUP(L174, [2]رواتب!B:S, 5, FALSE), "مش موجود")</f>
        <v>خط الصدر 2</v>
      </c>
      <c r="O174" s="13"/>
      <c r="P174" s="12"/>
      <c r="Q174" s="12">
        <f>_xlfn.XLOOKUP(L174, [1]رواتب!B:B, [1]رواتب!S:S, "")</f>
        <v>5000</v>
      </c>
      <c r="R174" s="14">
        <f t="shared" ca="1" si="1"/>
        <v>83374</v>
      </c>
    </row>
    <row r="175" spans="11:18" x14ac:dyDescent="0.25">
      <c r="K175" s="5">
        <v>169</v>
      </c>
      <c r="L175" s="6">
        <v>3501</v>
      </c>
      <c r="M175" s="6" t="str">
        <f>IFERROR(VLOOKUP(L175, [2]رواتب!B:S, 6, FALSE), "مش موجود")</f>
        <v>يوسف سعد حسن سعد عبدالله</v>
      </c>
      <c r="N175" s="7" t="str">
        <f>IFERROR(VLOOKUP(L175, [2]رواتب!B:S, 5, FALSE), "مش موجود")</f>
        <v>خط الظهر 3</v>
      </c>
      <c r="O175" s="8"/>
      <c r="P175" s="7"/>
      <c r="Q175" s="7">
        <f>_xlfn.XLOOKUP(L175, [1]رواتب!B:B, [1]رواتب!S:S, "")</f>
        <v>8500</v>
      </c>
      <c r="R175" s="9">
        <f t="shared" ca="1" si="1"/>
        <v>61929</v>
      </c>
    </row>
    <row r="176" spans="11:18" x14ac:dyDescent="0.25">
      <c r="K176" s="10">
        <v>170</v>
      </c>
      <c r="L176" s="11">
        <v>3416</v>
      </c>
      <c r="M176" s="11" t="str">
        <f>IFERROR(VLOOKUP(L176, [2]رواتب!B:S, 6, FALSE), "مش موجود")</f>
        <v>سلمى احمد محمد النبوي الناغية</v>
      </c>
      <c r="N176" s="12" t="str">
        <f>IFERROR(VLOOKUP(L176, [2]رواتب!B:S, 5, FALSE), "مش موجود")</f>
        <v>نهائي</v>
      </c>
      <c r="O176" s="13"/>
      <c r="P176" s="12"/>
      <c r="Q176" s="12">
        <f>_xlfn.XLOOKUP(L176, [1]رواتب!B:B, [1]رواتب!S:S, "")</f>
        <v>4000</v>
      </c>
      <c r="R176" s="14">
        <f t="shared" ca="1" si="1"/>
        <v>44240</v>
      </c>
    </row>
    <row r="177" spans="11:18" x14ac:dyDescent="0.25">
      <c r="K177" s="5">
        <v>171</v>
      </c>
      <c r="L177" s="6">
        <v>1035</v>
      </c>
      <c r="M177" s="6" t="str">
        <f>IFERROR(VLOOKUP(L177, [2]رواتب!B:S, 6, FALSE), "مش موجود")</f>
        <v>اسماعيل محمد اسماعيل محمد عامر</v>
      </c>
      <c r="N177" s="7" t="str">
        <f>IFERROR(VLOOKUP(L177, [2]رواتب!B:S, 5, FALSE), "مش موجود")</f>
        <v>نهائي</v>
      </c>
      <c r="O177" s="8"/>
      <c r="P177" s="7"/>
      <c r="Q177" s="7">
        <f>_xlfn.XLOOKUP(L177, [1]رواتب!B:B, [1]رواتب!S:S, "")</f>
        <v>6000</v>
      </c>
      <c r="R177" s="9">
        <f t="shared" ca="1" si="1"/>
        <v>16066</v>
      </c>
    </row>
    <row r="178" spans="11:18" x14ac:dyDescent="0.25">
      <c r="K178" s="10">
        <v>172</v>
      </c>
      <c r="L178" s="11">
        <v>3325</v>
      </c>
      <c r="M178" s="11" t="str">
        <f>IFERROR(VLOOKUP(L178, [2]رواتب!B:S, 6, FALSE), "مش موجود")</f>
        <v>ياسمين محسن السيد الزعلوك</v>
      </c>
      <c r="N178" s="12" t="str">
        <f>IFERROR(VLOOKUP(L178, [2]رواتب!B:S, 5, FALSE), "مش موجود")</f>
        <v>خط الظهر 1</v>
      </c>
      <c r="O178" s="13"/>
      <c r="P178" s="12"/>
      <c r="Q178" s="12">
        <f>_xlfn.XLOOKUP(L178, [1]رواتب!B:B, [1]رواتب!S:S, "")</f>
        <v>5600</v>
      </c>
      <c r="R178" s="14">
        <f t="shared" ca="1" si="1"/>
        <v>86715</v>
      </c>
    </row>
    <row r="179" spans="11:18" x14ac:dyDescent="0.25">
      <c r="K179" s="5">
        <v>173</v>
      </c>
      <c r="L179" s="6">
        <v>3469</v>
      </c>
      <c r="M179" s="6" t="str">
        <f>IFERROR(VLOOKUP(L179, [2]رواتب!B:S, 6, FALSE), "مش موجود")</f>
        <v>شهد شوقي محمد حامد سالم</v>
      </c>
      <c r="N179" s="7" t="str">
        <f>IFERROR(VLOOKUP(L179, [2]رواتب!B:S, 5, FALSE), "مش موجود")</f>
        <v>عراوي</v>
      </c>
      <c r="O179" s="8"/>
      <c r="P179" s="7"/>
      <c r="Q179" s="7">
        <f>_xlfn.XLOOKUP(L179, [1]رواتب!B:B, [1]رواتب!S:S, "")</f>
        <v>5000</v>
      </c>
      <c r="R179" s="9">
        <f t="shared" ca="1" si="1"/>
        <v>14464</v>
      </c>
    </row>
    <row r="180" spans="11:18" x14ac:dyDescent="0.25">
      <c r="K180" s="10">
        <v>174</v>
      </c>
      <c r="L180" s="11">
        <v>3207</v>
      </c>
      <c r="M180" s="11" t="str">
        <f>IFERROR(VLOOKUP(L180, [2]رواتب!B:S, 6, FALSE), "مش موجود")</f>
        <v>محسن العربي صالح صالح</v>
      </c>
      <c r="N180" s="12" t="str">
        <f>IFERROR(VLOOKUP(L180, [2]رواتب!B:S, 5, FALSE), "مش موجود")</f>
        <v>مخازن</v>
      </c>
      <c r="O180" s="13"/>
      <c r="P180" s="12"/>
      <c r="Q180" s="12">
        <f>_xlfn.XLOOKUP(L180, [1]رواتب!B:B, [1]رواتب!S:S, "")</f>
        <v>6000</v>
      </c>
      <c r="R180" s="14">
        <f t="shared" ca="1" si="1"/>
        <v>23857</v>
      </c>
    </row>
    <row r="181" spans="11:18" x14ac:dyDescent="0.25">
      <c r="K181" s="5">
        <v>175</v>
      </c>
      <c r="L181" s="6">
        <v>3610</v>
      </c>
      <c r="M181" s="6" t="str">
        <f>IFERROR(VLOOKUP(L181, [2]رواتب!B:S, 6, FALSE), "مش موجود")</f>
        <v>محمد احمد عبدالله محمد عبدالله</v>
      </c>
      <c r="N181" s="7" t="str">
        <f>IFERROR(VLOOKUP(L181, [2]رواتب!B:S, 5, FALSE), "مش موجود")</f>
        <v>نهائي</v>
      </c>
      <c r="O181" s="8"/>
      <c r="P181" s="7"/>
      <c r="Q181" s="7">
        <f>_xlfn.XLOOKUP(L181, [1]رواتب!B:B, [1]رواتب!S:S, "")</f>
        <v>4000</v>
      </c>
      <c r="R181" s="9">
        <f t="shared" ca="1" si="1"/>
        <v>86235</v>
      </c>
    </row>
    <row r="182" spans="11:18" x14ac:dyDescent="0.25">
      <c r="K182" s="10">
        <v>176</v>
      </c>
      <c r="L182" s="11">
        <v>2424</v>
      </c>
      <c r="M182" s="11" t="str">
        <f>IFERROR(VLOOKUP(L182, [2]رواتب!B:S, 6, FALSE), "مش موجود")</f>
        <v>رضا جاد محمد منصور</v>
      </c>
      <c r="N182" s="12" t="str">
        <f>IFERROR(VLOOKUP(L182, [2]رواتب!B:S, 5, FALSE), "مش موجود")</f>
        <v>خط الفنيش 2</v>
      </c>
      <c r="O182" s="13"/>
      <c r="P182" s="12"/>
      <c r="Q182" s="12">
        <f>_xlfn.XLOOKUP(L182, [1]رواتب!B:B, [1]رواتب!S:S, "")</f>
        <v>3500</v>
      </c>
      <c r="R182" s="14">
        <f t="shared" ca="1" si="1"/>
        <v>10646</v>
      </c>
    </row>
    <row r="183" spans="11:18" x14ac:dyDescent="0.25">
      <c r="K183" s="5">
        <v>177</v>
      </c>
      <c r="L183" s="6">
        <v>3131</v>
      </c>
      <c r="M183" s="6" t="str">
        <f>IFERROR(VLOOKUP(L183, [2]رواتب!B:S, 6, FALSE), "مش موجود")</f>
        <v>زينب عبده محمد العاصي</v>
      </c>
      <c r="N183" s="7" t="str">
        <f>IFERROR(VLOOKUP(L183, [2]رواتب!B:S, 5, FALSE), "مش موجود")</f>
        <v>خط الفنيش 2</v>
      </c>
      <c r="O183" s="8"/>
      <c r="P183" s="7"/>
      <c r="Q183" s="7">
        <f>_xlfn.XLOOKUP(L183, [1]رواتب!B:B, [1]رواتب!S:S, "")</f>
        <v>6000</v>
      </c>
      <c r="R183" s="9">
        <f t="shared" ca="1" si="1"/>
        <v>52570</v>
      </c>
    </row>
    <row r="184" spans="11:18" x14ac:dyDescent="0.25">
      <c r="K184" s="10">
        <v>178</v>
      </c>
      <c r="L184" s="11">
        <v>3611</v>
      </c>
      <c r="M184" s="11" t="str">
        <f>IFERROR(VLOOKUP(L184, [2]رواتب!B:S, 6, FALSE), "مش موجود")</f>
        <v xml:space="preserve">يوسف نسيم احمد احمد المتولي </v>
      </c>
      <c r="N184" s="12" t="str">
        <f>IFERROR(VLOOKUP(L184, [2]رواتب!B:S, 5, FALSE), "مش موجود")</f>
        <v>نهائي</v>
      </c>
      <c r="O184" s="13"/>
      <c r="P184" s="12"/>
      <c r="Q184" s="12">
        <f>_xlfn.XLOOKUP(L184, [1]رواتب!B:B, [1]رواتب!S:S, "")</f>
        <v>4500</v>
      </c>
      <c r="R184" s="14">
        <f t="shared" ca="1" si="1"/>
        <v>48376</v>
      </c>
    </row>
    <row r="185" spans="11:18" x14ac:dyDescent="0.25">
      <c r="K185" s="5">
        <v>179</v>
      </c>
      <c r="L185" s="6">
        <v>3056</v>
      </c>
      <c r="M185" s="6" t="str">
        <f>IFERROR(VLOOKUP(L185, [2]رواتب!B:S, 6, FALSE), "مش موجود")</f>
        <v>احمد ايمن احمد محمد سلام</v>
      </c>
      <c r="N185" s="7" t="str">
        <f>IFERROR(VLOOKUP(L185, [2]رواتب!B:S, 5, FALSE), "مش موجود")</f>
        <v>خط الفنيش 1</v>
      </c>
      <c r="O185" s="8"/>
      <c r="P185" s="7"/>
      <c r="Q185" s="7">
        <f>_xlfn.XLOOKUP(L185, [1]رواتب!B:B, [1]رواتب!S:S, "")</f>
        <v>6200</v>
      </c>
      <c r="R185" s="9">
        <f t="shared" ca="1" si="1"/>
        <v>68894</v>
      </c>
    </row>
    <row r="186" spans="11:18" x14ac:dyDescent="0.25">
      <c r="K186" s="10">
        <v>180</v>
      </c>
      <c r="L186" s="11">
        <v>3502</v>
      </c>
      <c r="M186" s="11" t="str">
        <f>IFERROR(VLOOKUP(L186, [2]رواتب!B:S, 6, FALSE), "مش موجود")</f>
        <v>نسمة علي محمد الصديق مجاهد</v>
      </c>
      <c r="N186" s="12" t="str">
        <f>IFERROR(VLOOKUP(L186, [2]رواتب!B:S, 5, FALSE), "مش موجود")</f>
        <v>نهائي</v>
      </c>
      <c r="O186" s="13"/>
      <c r="P186" s="12"/>
      <c r="Q186" s="12">
        <f>_xlfn.XLOOKUP(L186, [1]رواتب!B:B, [1]رواتب!S:S, "")</f>
        <v>7000</v>
      </c>
      <c r="R186" s="14">
        <f t="shared" ca="1" si="1"/>
        <v>93101</v>
      </c>
    </row>
    <row r="187" spans="11:18" x14ac:dyDescent="0.25">
      <c r="K187" s="5">
        <v>181</v>
      </c>
      <c r="L187" s="6">
        <v>3503</v>
      </c>
      <c r="M187" s="6" t="str">
        <f>IFERROR(VLOOKUP(L187, [2]رواتب!B:S, 6, FALSE), "مش موجود")</f>
        <v>حنين عبده محمد عبده جبر</v>
      </c>
      <c r="N187" s="7" t="str">
        <f>IFERROR(VLOOKUP(L187, [2]رواتب!B:S, 5, FALSE), "مش موجود")</f>
        <v>نهائي</v>
      </c>
      <c r="O187" s="8"/>
      <c r="P187" s="7"/>
      <c r="Q187" s="7">
        <f>_xlfn.XLOOKUP(L187, [1]رواتب!B:B, [1]رواتب!S:S, "")</f>
        <v>4500</v>
      </c>
      <c r="R187" s="9">
        <f t="shared" ca="1" si="1"/>
        <v>53390</v>
      </c>
    </row>
    <row r="188" spans="11:18" x14ac:dyDescent="0.25">
      <c r="K188" s="10">
        <v>182</v>
      </c>
      <c r="L188" s="11">
        <v>2232</v>
      </c>
      <c r="M188" s="11" t="str">
        <f>IFERROR(VLOOKUP(L188, [2]رواتب!B:S, 6, FALSE), "مش موجود")</f>
        <v>محمد عباس شتيوي</v>
      </c>
      <c r="N188" s="12" t="str">
        <f>IFERROR(VLOOKUP(L188, [2]رواتب!B:S, 5, FALSE), "مش موجود")</f>
        <v>نهائي</v>
      </c>
      <c r="O188" s="13"/>
      <c r="P188" s="12"/>
      <c r="Q188" s="12">
        <f>_xlfn.XLOOKUP(L188, [1]رواتب!B:B, [1]رواتب!S:S, "")</f>
        <v>6500</v>
      </c>
      <c r="R188" s="14">
        <f t="shared" ca="1" si="1"/>
        <v>15104</v>
      </c>
    </row>
    <row r="189" spans="11:18" x14ac:dyDescent="0.25">
      <c r="K189" s="5">
        <v>183</v>
      </c>
      <c r="L189" s="6">
        <v>2046</v>
      </c>
      <c r="M189" s="6" t="str">
        <f>IFERROR(VLOOKUP(L189, [2]رواتب!B:S, 6, FALSE), "مش موجود")</f>
        <v>محمد احمد صالح</v>
      </c>
      <c r="N189" s="7" t="str">
        <f>IFERROR(VLOOKUP(L189, [2]رواتب!B:S, 5, FALSE), "مش موجود")</f>
        <v>خط الفنيش 1</v>
      </c>
      <c r="O189" s="8"/>
      <c r="P189" s="7"/>
      <c r="Q189" s="7">
        <f>_xlfn.XLOOKUP(L189, [1]رواتب!B:B, [1]رواتب!S:S, "")</f>
        <v>8500</v>
      </c>
      <c r="R189" s="9">
        <f t="shared" ca="1" si="1"/>
        <v>10042</v>
      </c>
    </row>
    <row r="190" spans="11:18" x14ac:dyDescent="0.25">
      <c r="K190" s="10">
        <v>184</v>
      </c>
      <c r="L190" s="11">
        <v>3504</v>
      </c>
      <c r="M190" s="11" t="str">
        <f>IFERROR(VLOOKUP(L190, [2]رواتب!B:S, 6, FALSE), "مش موجود")</f>
        <v>محمود محمد البنداري عبدالمجيد محمد</v>
      </c>
      <c r="N190" s="12" t="str">
        <f>IFERROR(VLOOKUP(L190, [2]رواتب!B:S, 5, FALSE), "مش موجود")</f>
        <v>الإدارة</v>
      </c>
      <c r="O190" s="13"/>
      <c r="P190" s="12"/>
      <c r="Q190" s="12">
        <f>_xlfn.XLOOKUP(L190, [1]رواتب!B:B, [1]رواتب!S:S, "")</f>
        <v>15000</v>
      </c>
      <c r="R190" s="14">
        <f t="shared" ca="1" si="1"/>
        <v>59002</v>
      </c>
    </row>
    <row r="191" spans="11:18" x14ac:dyDescent="0.25">
      <c r="K191" s="5">
        <v>185</v>
      </c>
      <c r="L191" s="6">
        <v>3505</v>
      </c>
      <c r="M191" s="6" t="str">
        <f>IFERROR(VLOOKUP(L191, [2]رواتب!B:S, 6, FALSE), "مش موجود")</f>
        <v>بسنت محسن حسنين محمد حسنين</v>
      </c>
      <c r="N191" s="7" t="str">
        <f>IFERROR(VLOOKUP(L191, [2]رواتب!B:S, 5, FALSE), "مش موجود")</f>
        <v>خط الفنيش 2</v>
      </c>
      <c r="O191" s="8"/>
      <c r="P191" s="7"/>
      <c r="Q191" s="7">
        <f>_xlfn.XLOOKUP(L191, [1]رواتب!B:B, [1]رواتب!S:S, "")</f>
        <v>3000</v>
      </c>
      <c r="R191" s="9">
        <f t="shared" ca="1" si="1"/>
        <v>93509</v>
      </c>
    </row>
    <row r="192" spans="11:18" x14ac:dyDescent="0.25">
      <c r="K192" s="10">
        <v>186</v>
      </c>
      <c r="L192" s="11">
        <v>2657</v>
      </c>
      <c r="M192" s="11" t="str">
        <f>IFERROR(VLOOKUP(L192, [2]رواتب!B:S, 6, FALSE), "مش موجود")</f>
        <v>يوسف السيد محمد السيد حسانين</v>
      </c>
      <c r="N192" s="12" t="str">
        <f>IFERROR(VLOOKUP(L192, [2]رواتب!B:S, 5, FALSE), "مش موجود")</f>
        <v>خط الفنيش 2</v>
      </c>
      <c r="O192" s="13"/>
      <c r="P192" s="12"/>
      <c r="Q192" s="12">
        <f>_xlfn.XLOOKUP(L192, [1]رواتب!B:B, [1]رواتب!S:S, "")</f>
        <v>6500</v>
      </c>
      <c r="R192" s="14">
        <f t="shared" ca="1" si="1"/>
        <v>20240</v>
      </c>
    </row>
    <row r="193" spans="11:18" x14ac:dyDescent="0.25">
      <c r="K193" s="5">
        <v>187</v>
      </c>
      <c r="L193" s="6">
        <v>3508</v>
      </c>
      <c r="M193" s="6" t="str">
        <f>IFERROR(VLOOKUP(L193, [2]رواتب!B:S, 6, FALSE), "مش موجود")</f>
        <v>هبة وحيد محمد محمد سلطان</v>
      </c>
      <c r="N193" s="7" t="str">
        <f>IFERROR(VLOOKUP(L193, [2]رواتب!B:S, 5, FALSE), "مش موجود")</f>
        <v>خط الفنيش 3</v>
      </c>
      <c r="O193" s="8"/>
      <c r="P193" s="7"/>
      <c r="Q193" s="7">
        <f>_xlfn.XLOOKUP(L193, [1]رواتب!B:B, [1]رواتب!S:S, "")</f>
        <v>3000</v>
      </c>
      <c r="R193" s="9">
        <f t="shared" ca="1" si="1"/>
        <v>24203</v>
      </c>
    </row>
    <row r="194" spans="11:18" x14ac:dyDescent="0.25">
      <c r="K194" s="10">
        <v>188</v>
      </c>
      <c r="L194" s="11">
        <v>2632</v>
      </c>
      <c r="M194" s="11" t="str">
        <f>IFERROR(VLOOKUP(L194, [2]رواتب!B:S, 6, FALSE), "مش موجود")</f>
        <v>محمد عمرو محمد السيد حسانين</v>
      </c>
      <c r="N194" s="12" t="str">
        <f>IFERROR(VLOOKUP(L194, [2]رواتب!B:S, 5, FALSE), "مش موجود")</f>
        <v>خط الصدر 3</v>
      </c>
      <c r="O194" s="13"/>
      <c r="P194" s="12"/>
      <c r="Q194" s="12">
        <f>_xlfn.XLOOKUP(L194, [1]رواتب!B:B, [1]رواتب!S:S, "")</f>
        <v>6300</v>
      </c>
      <c r="R194" s="14">
        <f t="shared" ca="1" si="1"/>
        <v>30606</v>
      </c>
    </row>
    <row r="195" spans="11:18" x14ac:dyDescent="0.25">
      <c r="K195" s="5">
        <v>189</v>
      </c>
      <c r="L195" s="6">
        <v>2066</v>
      </c>
      <c r="M195" s="6" t="str">
        <f>IFERROR(VLOOKUP(L195, [2]رواتب!B:S, 6, FALSE), "مش موجود")</f>
        <v>علي السعيد مسعد</v>
      </c>
      <c r="N195" s="7" t="str">
        <f>IFERROR(VLOOKUP(L195, [2]رواتب!B:S, 5, FALSE), "مش موجود")</f>
        <v>المكواه</v>
      </c>
      <c r="O195" s="8"/>
      <c r="P195" s="7"/>
      <c r="Q195" s="7">
        <f>_xlfn.XLOOKUP(L195, [1]رواتب!B:B, [1]رواتب!S:S, "")</f>
        <v>9000</v>
      </c>
      <c r="R195" s="9">
        <f t="shared" ca="1" si="1"/>
        <v>15858</v>
      </c>
    </row>
    <row r="196" spans="11:18" x14ac:dyDescent="0.25">
      <c r="K196" s="10">
        <v>190</v>
      </c>
      <c r="L196" s="11">
        <v>3509</v>
      </c>
      <c r="M196" s="11" t="str">
        <f>IFERROR(VLOOKUP(L196, [2]رواتب!B:S, 6, FALSE), "مش موجود")</f>
        <v>اسماء احمد احمد محمد حسن</v>
      </c>
      <c r="N196" s="12" t="str">
        <f>IFERROR(VLOOKUP(L196, [2]رواتب!B:S, 5, FALSE), "مش موجود")</f>
        <v>الإدارة</v>
      </c>
      <c r="O196" s="13"/>
      <c r="P196" s="12"/>
      <c r="Q196" s="12">
        <f>_xlfn.XLOOKUP(L196, [1]رواتب!B:B, [1]رواتب!S:S, "")</f>
        <v>4500</v>
      </c>
      <c r="R196" s="14">
        <f t="shared" ca="1" si="1"/>
        <v>35233</v>
      </c>
    </row>
    <row r="197" spans="11:18" x14ac:dyDescent="0.25">
      <c r="K197" s="5">
        <v>191</v>
      </c>
      <c r="L197" s="6">
        <v>3612</v>
      </c>
      <c r="M197" s="6" t="str">
        <f>IFERROR(VLOOKUP(L197, [2]رواتب!B:S, 6, FALSE), "مش موجود")</f>
        <v>جنى عبدالباسط عبدالعزيز الدسوقي</v>
      </c>
      <c r="N197" s="7" t="str">
        <f>IFERROR(VLOOKUP(L197, [2]رواتب!B:S, 5, FALSE), "مش موجود")</f>
        <v>نهائي</v>
      </c>
      <c r="O197" s="8"/>
      <c r="P197" s="7"/>
      <c r="Q197" s="7">
        <f>_xlfn.XLOOKUP(L197, [1]رواتب!B:B, [1]رواتب!S:S, "")</f>
        <v>4500</v>
      </c>
      <c r="R197" s="9">
        <f t="shared" ca="1" si="1"/>
        <v>97776</v>
      </c>
    </row>
    <row r="198" spans="11:18" x14ac:dyDescent="0.25">
      <c r="K198" s="10">
        <v>192</v>
      </c>
      <c r="L198" s="11">
        <v>3367</v>
      </c>
      <c r="M198" s="11" t="str">
        <f>IFERROR(VLOOKUP(L198, [2]رواتب!B:S, 6, FALSE), "مش موجود")</f>
        <v>محمد جابر محمد ابراهيم بدوي</v>
      </c>
      <c r="N198" s="12" t="str">
        <f>IFERROR(VLOOKUP(L198, [2]رواتب!B:S, 5, FALSE), "مش موجود")</f>
        <v>خط الفنيش 2</v>
      </c>
      <c r="O198" s="13"/>
      <c r="P198" s="12"/>
      <c r="Q198" s="12">
        <f>_xlfn.XLOOKUP(L198, [1]رواتب!B:B, [1]رواتب!S:S, "")</f>
        <v>4000</v>
      </c>
      <c r="R198" s="14">
        <f t="shared" ca="1" si="1"/>
        <v>62629</v>
      </c>
    </row>
    <row r="199" spans="11:18" x14ac:dyDescent="0.25">
      <c r="K199" s="5">
        <v>193</v>
      </c>
      <c r="L199" s="6">
        <v>2639</v>
      </c>
      <c r="M199" s="6" t="str">
        <f>IFERROR(VLOOKUP(L199, [2]رواتب!B:S, 6, FALSE), "مش موجود")</f>
        <v>محبوبة محمود حسن محمد</v>
      </c>
      <c r="N199" s="7" t="str">
        <f>IFERROR(VLOOKUP(L199, [2]رواتب!B:S, 5, FALSE), "مش موجود")</f>
        <v>التجهيز</v>
      </c>
      <c r="O199" s="8"/>
      <c r="P199" s="7"/>
      <c r="Q199" s="7">
        <f>_xlfn.XLOOKUP(L199, [1]رواتب!B:B, [1]رواتب!S:S, "")</f>
        <v>4700</v>
      </c>
      <c r="R199" s="9">
        <f t="shared" ca="1" si="1"/>
        <v>41089</v>
      </c>
    </row>
    <row r="200" spans="11:18" x14ac:dyDescent="0.25">
      <c r="K200" s="10">
        <v>194</v>
      </c>
      <c r="L200" s="11">
        <v>2268</v>
      </c>
      <c r="M200" s="11" t="str">
        <f>IFERROR(VLOOKUP(L200, [2]رواتب!B:S, 6, FALSE), "مش موجود")</f>
        <v>عبده محمد عبده محمد العشري</v>
      </c>
      <c r="N200" s="12" t="str">
        <f>IFERROR(VLOOKUP(L200, [2]رواتب!B:S, 5, FALSE), "مش موجود")</f>
        <v>المكواه</v>
      </c>
      <c r="O200" s="13"/>
      <c r="P200" s="12"/>
      <c r="Q200" s="12">
        <f>_xlfn.XLOOKUP(L200, [1]رواتب!B:B, [1]رواتب!S:S, "")</f>
        <v>6800</v>
      </c>
      <c r="R200" s="14">
        <f t="shared" ca="1" si="1"/>
        <v>78543</v>
      </c>
    </row>
    <row r="201" spans="11:18" x14ac:dyDescent="0.25">
      <c r="K201" s="5">
        <v>195</v>
      </c>
      <c r="L201" s="6">
        <v>3363</v>
      </c>
      <c r="M201" s="6" t="str">
        <f>IFERROR(VLOOKUP(L201, [2]رواتب!B:S, 6, FALSE), "مش موجود")</f>
        <v>اميرة محمد السيد الحطيني</v>
      </c>
      <c r="N201" s="7" t="str">
        <f>IFERROR(VLOOKUP(L201, [2]رواتب!B:S, 5, FALSE), "مش موجود")</f>
        <v>خط الصدر 1</v>
      </c>
      <c r="O201" s="8"/>
      <c r="P201" s="7"/>
      <c r="Q201" s="7">
        <f>_xlfn.XLOOKUP(L201, [1]رواتب!B:B, [1]رواتب!S:S, "")</f>
        <v>5800</v>
      </c>
      <c r="R201" s="9">
        <f t="shared" ca="1" si="1"/>
        <v>68583</v>
      </c>
    </row>
    <row r="202" spans="11:18" x14ac:dyDescent="0.25">
      <c r="K202" s="10">
        <v>196</v>
      </c>
      <c r="L202" s="11">
        <v>2558</v>
      </c>
      <c r="M202" s="11" t="str">
        <f>IFERROR(VLOOKUP(L202, [2]رواتب!B:S, 6, FALSE), "مش موجود")</f>
        <v>حمادة السيد جمال السيد عمر</v>
      </c>
      <c r="N202" s="12" t="str">
        <f>IFERROR(VLOOKUP(L202, [2]رواتب!B:S, 5, FALSE), "مش موجود")</f>
        <v>المكواه</v>
      </c>
      <c r="O202" s="13"/>
      <c r="P202" s="12"/>
      <c r="Q202" s="12">
        <f>_xlfn.XLOOKUP(L202, [1]رواتب!B:B, [1]رواتب!S:S, "")</f>
        <v>4450</v>
      </c>
      <c r="R202" s="14">
        <f t="shared" ca="1" si="1"/>
        <v>66371</v>
      </c>
    </row>
    <row r="203" spans="11:18" x14ac:dyDescent="0.25">
      <c r="K203" s="5">
        <v>197</v>
      </c>
      <c r="L203" s="6">
        <v>3086</v>
      </c>
      <c r="M203" s="6" t="str">
        <f>IFERROR(VLOOKUP(L203, [2]رواتب!B:S, 6, FALSE), "مش موجود")</f>
        <v>محمد ابراهيم حسن محمد عطية</v>
      </c>
      <c r="N203" s="7" t="str">
        <f>IFERROR(VLOOKUP(L203, [2]رواتب!B:S, 5, FALSE), "مش موجود")</f>
        <v>التشطيب</v>
      </c>
      <c r="O203" s="8"/>
      <c r="P203" s="7"/>
      <c r="Q203" s="7">
        <f>_xlfn.XLOOKUP(L203, [1]رواتب!B:B, [1]رواتب!S:S, "")</f>
        <v>3200</v>
      </c>
      <c r="R203" s="9">
        <f t="shared" ca="1" si="1"/>
        <v>61024</v>
      </c>
    </row>
    <row r="204" spans="11:18" x14ac:dyDescent="0.25">
      <c r="K204" s="10">
        <v>198</v>
      </c>
      <c r="L204" s="11">
        <v>3564</v>
      </c>
      <c r="M204" s="11" t="str">
        <f>IFERROR(VLOOKUP(L204, [2]رواتب!B:S, 6, FALSE), "مش موجود")</f>
        <v>يوسف محمود حمدي محمد راشد</v>
      </c>
      <c r="N204" s="12" t="str">
        <f>IFERROR(VLOOKUP(L204, [2]رواتب!B:S, 5, FALSE), "مش موجود")</f>
        <v>عراوي</v>
      </c>
      <c r="O204" s="13"/>
      <c r="P204" s="12"/>
      <c r="Q204" s="12">
        <f>_xlfn.XLOOKUP(L204, [1]رواتب!B:B, [1]رواتب!S:S, "")</f>
        <v>0</v>
      </c>
      <c r="R204" s="14">
        <f t="shared" ca="1" si="1"/>
        <v>57719</v>
      </c>
    </row>
    <row r="205" spans="11:18" x14ac:dyDescent="0.25">
      <c r="K205" s="5">
        <v>199</v>
      </c>
      <c r="L205" s="6">
        <v>1030</v>
      </c>
      <c r="M205" s="6" t="str">
        <f>IFERROR(VLOOKUP(L205, [2]رواتب!B:S, 6, FALSE), "مش موجود")</f>
        <v>محمد عباس فتوح احمد مصطفى</v>
      </c>
      <c r="N205" s="7" t="str">
        <f>IFERROR(VLOOKUP(L205, [2]رواتب!B:S, 5, FALSE), "مش موجود")</f>
        <v>التشطيب</v>
      </c>
      <c r="O205" s="8"/>
      <c r="P205" s="7"/>
      <c r="Q205" s="7">
        <f>_xlfn.XLOOKUP(L205, [1]رواتب!B:B, [1]رواتب!S:S, "")</f>
        <v>5800</v>
      </c>
      <c r="R205" s="9">
        <f t="shared" ca="1" si="1"/>
        <v>72400</v>
      </c>
    </row>
    <row r="206" spans="11:18" x14ac:dyDescent="0.25">
      <c r="K206" s="10">
        <v>200</v>
      </c>
      <c r="L206" s="11">
        <v>3401</v>
      </c>
      <c r="M206" s="11" t="str">
        <f>IFERROR(VLOOKUP(L206, [2]رواتب!B:S, 6, FALSE), "مش موجود")</f>
        <v>يوسف السيد حمدي رشاد</v>
      </c>
      <c r="N206" s="12" t="str">
        <f>IFERROR(VLOOKUP(L206, [2]رواتب!B:S, 5, FALSE), "مش موجود")</f>
        <v>عراوي</v>
      </c>
      <c r="O206" s="13"/>
      <c r="P206" s="12"/>
      <c r="Q206" s="12">
        <f>_xlfn.XLOOKUP(L206, [1]رواتب!B:B, [1]رواتب!S:S, "")</f>
        <v>5500</v>
      </c>
      <c r="R206" s="14">
        <f t="shared" ca="1" si="1"/>
        <v>86924</v>
      </c>
    </row>
    <row r="207" spans="11:18" x14ac:dyDescent="0.25">
      <c r="K207" s="5">
        <v>201</v>
      </c>
      <c r="L207" s="6">
        <v>3208</v>
      </c>
      <c r="M207" s="6" t="str">
        <f>IFERROR(VLOOKUP(L207, [2]رواتب!B:S, 6, FALSE), "مش موجود")</f>
        <v>روان محمد المرسي المرسي</v>
      </c>
      <c r="N207" s="7" t="str">
        <f>IFERROR(VLOOKUP(L207, [2]رواتب!B:S, 5, FALSE), "مش موجود")</f>
        <v>التجهيز</v>
      </c>
      <c r="O207" s="8"/>
      <c r="P207" s="7"/>
      <c r="Q207" s="7">
        <f>_xlfn.XLOOKUP(L207, [1]رواتب!B:B, [1]رواتب!S:S, "")</f>
        <v>4500</v>
      </c>
      <c r="R207" s="9">
        <f t="shared" ca="1" si="1"/>
        <v>77185</v>
      </c>
    </row>
    <row r="208" spans="11:18" x14ac:dyDescent="0.25">
      <c r="K208" s="10">
        <v>202</v>
      </c>
      <c r="L208" s="11">
        <v>3268</v>
      </c>
      <c r="M208" s="11" t="str">
        <f>IFERROR(VLOOKUP(L208, [2]رواتب!B:S, 6, FALSE), "مش موجود")</f>
        <v>عمرو احمد محمد الغريب فلا</v>
      </c>
      <c r="N208" s="12" t="str">
        <f>IFERROR(VLOOKUP(L208, [2]رواتب!B:S, 5, FALSE), "مش موجود")</f>
        <v>خط 4</v>
      </c>
      <c r="O208" s="13"/>
      <c r="P208" s="12"/>
      <c r="Q208" s="12">
        <f>_xlfn.XLOOKUP(L208, [1]رواتب!B:B, [1]رواتب!S:S, "")</f>
        <v>3300</v>
      </c>
      <c r="R208" s="14">
        <f t="shared" ca="1" si="1"/>
        <v>71136</v>
      </c>
    </row>
    <row r="209" spans="11:18" x14ac:dyDescent="0.25">
      <c r="K209" s="5">
        <v>203</v>
      </c>
      <c r="L209" s="6">
        <v>2378</v>
      </c>
      <c r="M209" s="6" t="str">
        <f>IFERROR(VLOOKUP(L209, [2]رواتب!B:S, 6, FALSE), "مش موجود")</f>
        <v>سمر محمد مصطفى</v>
      </c>
      <c r="N209" s="7" t="str">
        <f>IFERROR(VLOOKUP(L209, [2]رواتب!B:S, 5, FALSE), "مش موجود")</f>
        <v>التشطيب</v>
      </c>
      <c r="O209" s="8"/>
      <c r="P209" s="7"/>
      <c r="Q209" s="7">
        <f>_xlfn.XLOOKUP(L209, [1]رواتب!B:B, [1]رواتب!S:S, "")</f>
        <v>4400</v>
      </c>
      <c r="R209" s="9">
        <f t="shared" ca="1" si="1"/>
        <v>46055</v>
      </c>
    </row>
    <row r="210" spans="11:18" x14ac:dyDescent="0.25">
      <c r="K210" s="10">
        <v>204</v>
      </c>
      <c r="L210" s="11">
        <v>1097</v>
      </c>
      <c r="M210" s="11" t="str">
        <f>IFERROR(VLOOKUP(L210, [2]رواتب!B:S, 6, FALSE), "مش موجود")</f>
        <v>عزة عزت احمد إبراهيم</v>
      </c>
      <c r="N210" s="12" t="str">
        <f>IFERROR(VLOOKUP(L210, [2]رواتب!B:S, 5, FALSE), "مش موجود")</f>
        <v>خط الفنيش 1</v>
      </c>
      <c r="O210" s="13"/>
      <c r="P210" s="12"/>
      <c r="Q210" s="12">
        <f>_xlfn.XLOOKUP(L210, [1]رواتب!B:B, [1]رواتب!S:S, "")</f>
        <v>7000</v>
      </c>
      <c r="R210" s="14">
        <f t="shared" ca="1" si="1"/>
        <v>47677</v>
      </c>
    </row>
    <row r="211" spans="11:18" x14ac:dyDescent="0.25">
      <c r="K211" s="5">
        <v>205</v>
      </c>
      <c r="L211" s="6">
        <v>2579</v>
      </c>
      <c r="M211" s="6" t="str">
        <f>IFERROR(VLOOKUP(L211, [2]رواتب!B:S, 6, FALSE), "مش موجود")</f>
        <v>احمد محمد سعد أبو العطا</v>
      </c>
      <c r="N211" s="7" t="str">
        <f>IFERROR(VLOOKUP(L211, [2]رواتب!B:S, 5, FALSE), "مش موجود")</f>
        <v>خط الظهر 1</v>
      </c>
      <c r="O211" s="8"/>
      <c r="P211" s="7"/>
      <c r="Q211" s="7">
        <f>_xlfn.XLOOKUP(L211, [1]رواتب!B:B, [1]رواتب!S:S, "")</f>
        <v>5500</v>
      </c>
      <c r="R211" s="9">
        <f t="shared" ca="1" si="1"/>
        <v>21740</v>
      </c>
    </row>
    <row r="212" spans="11:18" x14ac:dyDescent="0.25">
      <c r="K212" s="10">
        <v>206</v>
      </c>
      <c r="L212" s="11">
        <v>1063</v>
      </c>
      <c r="M212" s="11" t="str">
        <f>IFERROR(VLOOKUP(L212, [2]رواتب!B:S, 6, FALSE), "مش موجود")</f>
        <v>سلمى محمد عباس محمدين على</v>
      </c>
      <c r="N212" s="12" t="str">
        <f>IFERROR(VLOOKUP(L212, [2]رواتب!B:S, 5, FALSE), "مش موجود")</f>
        <v>نهائي</v>
      </c>
      <c r="O212" s="13"/>
      <c r="P212" s="12"/>
      <c r="Q212" s="12">
        <f>_xlfn.XLOOKUP(L212, [1]رواتب!B:B, [1]رواتب!S:S, "")</f>
        <v>6500</v>
      </c>
      <c r="R212" s="14">
        <f t="shared" ca="1" si="1"/>
        <v>46633</v>
      </c>
    </row>
    <row r="213" spans="11:18" x14ac:dyDescent="0.25">
      <c r="K213" s="5">
        <v>207</v>
      </c>
      <c r="L213" s="6">
        <v>3511</v>
      </c>
      <c r="M213" s="6" t="str">
        <f>IFERROR(VLOOKUP(L213, [2]رواتب!B:S, 6, FALSE), "مش موجود")</f>
        <v>شهد محمد محمد عبده جبر</v>
      </c>
      <c r="N213" s="7" t="str">
        <f>IFERROR(VLOOKUP(L213, [2]رواتب!B:S, 5, FALSE), "مش موجود")</f>
        <v>خط الظهر 1</v>
      </c>
      <c r="O213" s="8"/>
      <c r="P213" s="7"/>
      <c r="Q213" s="7">
        <f>_xlfn.XLOOKUP(L213, [1]رواتب!B:B, [1]رواتب!S:S, "")</f>
        <v>3000</v>
      </c>
      <c r="R213" s="9">
        <f t="shared" ca="1" si="1"/>
        <v>52947</v>
      </c>
    </row>
    <row r="214" spans="11:18" x14ac:dyDescent="0.25">
      <c r="K214" s="10">
        <v>208</v>
      </c>
      <c r="L214" s="11">
        <v>3074</v>
      </c>
      <c r="M214" s="11" t="str">
        <f>IFERROR(VLOOKUP(L214, [2]رواتب!B:S, 6, FALSE), "مش موجود")</f>
        <v>سميحة البلاسي ابو المعاطي</v>
      </c>
      <c r="N214" s="12" t="str">
        <f>IFERROR(VLOOKUP(L214, [2]رواتب!B:S, 5, FALSE), "مش موجود")</f>
        <v>خط الفنيش 1</v>
      </c>
      <c r="O214" s="13"/>
      <c r="P214" s="12"/>
      <c r="Q214" s="12">
        <f>_xlfn.XLOOKUP(L214, [1]رواتب!B:B, [1]رواتب!S:S, "")</f>
        <v>4000</v>
      </c>
      <c r="R214" s="14">
        <f t="shared" ca="1" si="1"/>
        <v>55304</v>
      </c>
    </row>
    <row r="215" spans="11:18" x14ac:dyDescent="0.25">
      <c r="K215" s="5">
        <v>209</v>
      </c>
      <c r="L215" s="6">
        <v>3587</v>
      </c>
      <c r="M215" s="6" t="str">
        <f>IFERROR(VLOOKUP(L215, [2]رواتب!B:S, 6, FALSE), "مش موجود")</f>
        <v>سلمى رضا اسعد جمعة نوفل</v>
      </c>
      <c r="N215" s="7" t="str">
        <f>IFERROR(VLOOKUP(L215, [2]رواتب!B:S, 5, FALSE), "مش موجود")</f>
        <v>خط الفنيش 2</v>
      </c>
      <c r="O215" s="8"/>
      <c r="P215" s="7"/>
      <c r="Q215" s="7">
        <f>_xlfn.XLOOKUP(L215, [1]رواتب!B:B, [1]رواتب!S:S, "")</f>
        <v>3500</v>
      </c>
      <c r="R215" s="9">
        <f t="shared" ref="R215:R278" ca="1" si="2">RANDBETWEEN(10000,99999)</f>
        <v>55439</v>
      </c>
    </row>
    <row r="216" spans="11:18" x14ac:dyDescent="0.25">
      <c r="K216" s="10">
        <v>210</v>
      </c>
      <c r="L216" s="11">
        <v>44</v>
      </c>
      <c r="M216" s="11" t="str">
        <f>IFERROR(VLOOKUP(L216, [2]رواتب!B:S, 6, FALSE), "مش موجود")</f>
        <v>اسراء محمود محمد ابرهيم</v>
      </c>
      <c r="N216" s="12" t="str">
        <f>IFERROR(VLOOKUP(L216, [2]رواتب!B:S, 5, FALSE), "مش موجود")</f>
        <v>نهائي</v>
      </c>
      <c r="O216" s="13"/>
      <c r="P216" s="12"/>
      <c r="Q216" s="12">
        <f>_xlfn.XLOOKUP(L216, [1]رواتب!B:B, [1]رواتب!S:S, "")</f>
        <v>5300</v>
      </c>
      <c r="R216" s="14">
        <f t="shared" ca="1" si="2"/>
        <v>93150</v>
      </c>
    </row>
    <row r="217" spans="11:18" x14ac:dyDescent="0.25">
      <c r="K217" s="5">
        <v>211</v>
      </c>
      <c r="L217" s="6">
        <v>1071</v>
      </c>
      <c r="M217" s="6" t="str">
        <f>IFERROR(VLOOKUP(L217, [2]رواتب!B:S, 6, FALSE), "مش موجود")</f>
        <v>ميرفت جمال علي قاسم</v>
      </c>
      <c r="N217" s="7" t="str">
        <f>IFERROR(VLOOKUP(L217, [2]رواتب!B:S, 5, FALSE), "مش موجود")</f>
        <v>خط الفنيش 1</v>
      </c>
      <c r="O217" s="8"/>
      <c r="P217" s="7"/>
      <c r="Q217" s="7">
        <f>_xlfn.XLOOKUP(L217, [1]رواتب!B:B, [1]رواتب!S:S, "")</f>
        <v>6800</v>
      </c>
      <c r="R217" s="9">
        <f t="shared" ca="1" si="2"/>
        <v>23211</v>
      </c>
    </row>
    <row r="218" spans="11:18" x14ac:dyDescent="0.25">
      <c r="K218" s="10">
        <v>212</v>
      </c>
      <c r="L218" s="11">
        <v>3472</v>
      </c>
      <c r="M218" s="11" t="str">
        <f>IFERROR(VLOOKUP(L218, [2]رواتب!B:S, 6, FALSE), "مش موجود")</f>
        <v>محمد مجدي محمد الجمل</v>
      </c>
      <c r="N218" s="12" t="str">
        <f>IFERROR(VLOOKUP(L218, [2]رواتب!B:S, 5, FALSE), "مش موجود")</f>
        <v>التخطيط</v>
      </c>
      <c r="O218" s="13"/>
      <c r="P218" s="12"/>
      <c r="Q218" s="12">
        <f>_xlfn.XLOOKUP(L218, [1]رواتب!B:B, [1]رواتب!S:S, "")</f>
        <v>6000</v>
      </c>
      <c r="R218" s="14">
        <f t="shared" ca="1" si="2"/>
        <v>17027</v>
      </c>
    </row>
    <row r="219" spans="11:18" x14ac:dyDescent="0.25">
      <c r="K219" s="5">
        <v>213</v>
      </c>
      <c r="L219" s="6">
        <v>2660</v>
      </c>
      <c r="M219" s="6" t="str">
        <f>IFERROR(VLOOKUP(L219, [2]رواتب!B:S, 6, FALSE), "مش موجود")</f>
        <v>زكريا محمد نصر حسن الحماحمي</v>
      </c>
      <c r="N219" s="7" t="str">
        <f>IFERROR(VLOOKUP(L219, [2]رواتب!B:S, 5, FALSE), "مش موجود")</f>
        <v>نهائي</v>
      </c>
      <c r="O219" s="8"/>
      <c r="P219" s="7"/>
      <c r="Q219" s="7">
        <f>_xlfn.XLOOKUP(L219, [1]رواتب!B:B, [1]رواتب!S:S, "")</f>
        <v>4800</v>
      </c>
      <c r="R219" s="9">
        <f t="shared" ca="1" si="2"/>
        <v>50753</v>
      </c>
    </row>
    <row r="220" spans="11:18" x14ac:dyDescent="0.25">
      <c r="K220" s="10">
        <v>214</v>
      </c>
      <c r="L220" s="11">
        <v>3514</v>
      </c>
      <c r="M220" s="11" t="str">
        <f>IFERROR(VLOOKUP(L220, [2]رواتب!B:S, 6, FALSE), "مش موجود")</f>
        <v>الاء منير محمد عبدالمقصود عشري</v>
      </c>
      <c r="N220" s="12" t="str">
        <f>IFERROR(VLOOKUP(L220, [2]رواتب!B:S, 5, FALSE), "مش موجود")</f>
        <v>خط الفنيش 2</v>
      </c>
      <c r="O220" s="13"/>
      <c r="P220" s="12"/>
      <c r="Q220" s="12">
        <f>_xlfn.XLOOKUP(L220, [1]رواتب!B:B, [1]رواتب!S:S, "")</f>
        <v>3000</v>
      </c>
      <c r="R220" s="14">
        <f t="shared" ca="1" si="2"/>
        <v>10535</v>
      </c>
    </row>
    <row r="221" spans="11:18" x14ac:dyDescent="0.25">
      <c r="K221" s="5">
        <v>215</v>
      </c>
      <c r="L221" s="6">
        <v>3402</v>
      </c>
      <c r="M221" s="6" t="str">
        <f>IFERROR(VLOOKUP(L221, [2]رواتب!B:S, 6, FALSE), "مش موجود")</f>
        <v>كريم ابراهيم محمد مقبل خليل</v>
      </c>
      <c r="N221" s="7" t="str">
        <f>IFERROR(VLOOKUP(L221, [2]رواتب!B:S, 5, FALSE), "مش موجود")</f>
        <v>خط الظهر 2</v>
      </c>
      <c r="O221" s="8"/>
      <c r="P221" s="7"/>
      <c r="Q221" s="7">
        <f>_xlfn.XLOOKUP(L221, [1]رواتب!B:B, [1]رواتب!S:S, "")</f>
        <v>5500</v>
      </c>
      <c r="R221" s="9">
        <f t="shared" ca="1" si="2"/>
        <v>96013</v>
      </c>
    </row>
    <row r="222" spans="11:18" x14ac:dyDescent="0.25">
      <c r="K222" s="10">
        <v>216</v>
      </c>
      <c r="L222" s="11">
        <v>2651</v>
      </c>
      <c r="M222" s="11" t="str">
        <f>IFERROR(VLOOKUP(L222, [2]رواتب!B:S, 6, FALSE), "مش موجود")</f>
        <v>محمد مختار محمد مصطفى سالم</v>
      </c>
      <c r="N222" s="12" t="str">
        <f>IFERROR(VLOOKUP(L222, [2]رواتب!B:S, 5, FALSE), "مش موجود")</f>
        <v>خط الفنيش 1</v>
      </c>
      <c r="O222" s="13"/>
      <c r="P222" s="12"/>
      <c r="Q222" s="12">
        <f>_xlfn.XLOOKUP(L222, [1]رواتب!B:B, [1]رواتب!S:S, "")</f>
        <v>4500</v>
      </c>
      <c r="R222" s="14">
        <f t="shared" ca="1" si="2"/>
        <v>23089</v>
      </c>
    </row>
    <row r="223" spans="11:18" x14ac:dyDescent="0.25">
      <c r="K223" s="5">
        <v>217</v>
      </c>
      <c r="L223" s="6">
        <v>3061</v>
      </c>
      <c r="M223" s="6" t="str">
        <f>IFERROR(VLOOKUP(L223, [2]رواتب!B:S, 6, FALSE), "مش موجود")</f>
        <v>هايدي عابد السيد محمد ابراهيم</v>
      </c>
      <c r="N223" s="7" t="str">
        <f>IFERROR(VLOOKUP(L223, [2]رواتب!B:S, 5, FALSE), "مش موجود")</f>
        <v>التجهيز</v>
      </c>
      <c r="O223" s="8"/>
      <c r="P223" s="7"/>
      <c r="Q223" s="7">
        <f>_xlfn.XLOOKUP(L223, [1]رواتب!B:B, [1]رواتب!S:S, "")</f>
        <v>5500</v>
      </c>
      <c r="R223" s="9">
        <f t="shared" ca="1" si="2"/>
        <v>29041</v>
      </c>
    </row>
    <row r="224" spans="11:18" x14ac:dyDescent="0.25">
      <c r="K224" s="10">
        <v>218</v>
      </c>
      <c r="L224" s="11">
        <v>2634</v>
      </c>
      <c r="M224" s="11" t="str">
        <f>IFERROR(VLOOKUP(L224, [2]رواتب!B:S, 6, FALSE), "مش موجود")</f>
        <v>فارس محمد رشاد محمد سالم</v>
      </c>
      <c r="N224" s="12" t="str">
        <f>IFERROR(VLOOKUP(L224, [2]رواتب!B:S, 5, FALSE), "مش موجود")</f>
        <v>عراوي</v>
      </c>
      <c r="O224" s="13"/>
      <c r="P224" s="12"/>
      <c r="Q224" s="12">
        <f>_xlfn.XLOOKUP(L224, [1]رواتب!B:B, [1]رواتب!S:S, "")</f>
        <v>5500</v>
      </c>
      <c r="R224" s="14">
        <f t="shared" ca="1" si="2"/>
        <v>33732</v>
      </c>
    </row>
    <row r="225" spans="11:18" x14ac:dyDescent="0.25">
      <c r="K225" s="5">
        <v>219</v>
      </c>
      <c r="L225" s="6">
        <v>3158</v>
      </c>
      <c r="M225" s="6" t="str">
        <f>IFERROR(VLOOKUP(L225, [2]رواتب!B:S, 6, FALSE), "مش موجود")</f>
        <v>عيد ابراهيم سيد احمد</v>
      </c>
      <c r="N225" s="7" t="str">
        <f>IFERROR(VLOOKUP(L225, [2]رواتب!B:S, 5, FALSE), "مش موجود")</f>
        <v>المكواه</v>
      </c>
      <c r="O225" s="8"/>
      <c r="P225" s="7"/>
      <c r="Q225" s="7">
        <f>_xlfn.XLOOKUP(L225, [1]رواتب!B:B, [1]رواتب!S:S, "")</f>
        <v>4800</v>
      </c>
      <c r="R225" s="9">
        <f t="shared" ca="1" si="2"/>
        <v>98362</v>
      </c>
    </row>
    <row r="226" spans="11:18" x14ac:dyDescent="0.25">
      <c r="K226" s="10">
        <v>220</v>
      </c>
      <c r="L226" s="11">
        <v>2285</v>
      </c>
      <c r="M226" s="11" t="str">
        <f>IFERROR(VLOOKUP(L226, [2]رواتب!B:S, 6, FALSE), "مش موجود")</f>
        <v>احمد محمد السعيد</v>
      </c>
      <c r="N226" s="12" t="str">
        <f>IFERROR(VLOOKUP(L226, [2]رواتب!B:S, 5, FALSE), "مش موجود")</f>
        <v>العينات</v>
      </c>
      <c r="O226" s="13"/>
      <c r="P226" s="12"/>
      <c r="Q226" s="12">
        <f>_xlfn.XLOOKUP(L226, [1]رواتب!B:B, [1]رواتب!S:S, "")</f>
        <v>5300</v>
      </c>
      <c r="R226" s="14">
        <f t="shared" ca="1" si="2"/>
        <v>82641</v>
      </c>
    </row>
    <row r="227" spans="11:18" x14ac:dyDescent="0.25">
      <c r="K227" s="5">
        <v>221</v>
      </c>
      <c r="L227" s="6">
        <v>2753</v>
      </c>
      <c r="M227" s="6" t="str">
        <f>IFERROR(VLOOKUP(L227, [2]رواتب!B:S, 6, FALSE), "مش موجود")</f>
        <v>اسماء علي محمد محمد الناغية</v>
      </c>
      <c r="N227" s="7" t="str">
        <f>IFERROR(VLOOKUP(L227, [2]رواتب!B:S, 5, FALSE), "مش موجود")</f>
        <v>عراوي</v>
      </c>
      <c r="O227" s="8"/>
      <c r="P227" s="7"/>
      <c r="Q227" s="7">
        <f>_xlfn.XLOOKUP(L227, [1]رواتب!B:B, [1]رواتب!S:S, "")</f>
        <v>4000</v>
      </c>
      <c r="R227" s="9">
        <f t="shared" ca="1" si="2"/>
        <v>27744</v>
      </c>
    </row>
    <row r="228" spans="11:18" x14ac:dyDescent="0.25">
      <c r="K228" s="10">
        <v>222</v>
      </c>
      <c r="L228" s="11">
        <v>1044</v>
      </c>
      <c r="M228" s="11" t="str">
        <f>IFERROR(VLOOKUP(L228, [2]رواتب!B:S, 6, FALSE), "مش موجود")</f>
        <v>روايح على على ابو المعاطى</v>
      </c>
      <c r="N228" s="12" t="str">
        <f>IFERROR(VLOOKUP(L228, [2]رواتب!B:S, 5, FALSE), "مش موجود")</f>
        <v>خط 4</v>
      </c>
      <c r="O228" s="13"/>
      <c r="P228" s="12"/>
      <c r="Q228" s="12">
        <f>_xlfn.XLOOKUP(L228, [1]رواتب!B:B, [1]رواتب!S:S, "")</f>
        <v>6000</v>
      </c>
      <c r="R228" s="14">
        <f t="shared" ca="1" si="2"/>
        <v>80696</v>
      </c>
    </row>
    <row r="229" spans="11:18" x14ac:dyDescent="0.25">
      <c r="K229" s="5">
        <v>223</v>
      </c>
      <c r="L229" s="6">
        <v>3582</v>
      </c>
      <c r="M229" s="6" t="str">
        <f>IFERROR(VLOOKUP(L229, [2]رواتب!B:S, 6, FALSE), "مش موجود")</f>
        <v>محمود رمضان محمد سليمان الجعيو</v>
      </c>
      <c r="N229" s="7" t="str">
        <f>IFERROR(VLOOKUP(L229, [2]رواتب!B:S, 5, FALSE), "مش موجود")</f>
        <v>نهائي</v>
      </c>
      <c r="O229" s="8"/>
      <c r="P229" s="7"/>
      <c r="Q229" s="7">
        <f>_xlfn.XLOOKUP(L229, [1]رواتب!B:B, [1]رواتب!S:S, "")</f>
        <v>7000</v>
      </c>
      <c r="R229" s="9">
        <f t="shared" ca="1" si="2"/>
        <v>50527</v>
      </c>
    </row>
    <row r="230" spans="11:18" x14ac:dyDescent="0.25">
      <c r="K230" s="10">
        <v>224</v>
      </c>
      <c r="L230" s="11">
        <v>2202</v>
      </c>
      <c r="M230" s="11" t="str">
        <f>IFERROR(VLOOKUP(L230, [2]رواتب!B:S, 6, FALSE), "مش موجود")</f>
        <v>بسمه محمود العاصى</v>
      </c>
      <c r="N230" s="12" t="str">
        <f>IFERROR(VLOOKUP(L230, [2]رواتب!B:S, 5, FALSE), "مش موجود")</f>
        <v>خط الفنيش 3</v>
      </c>
      <c r="O230" s="13"/>
      <c r="P230" s="12"/>
      <c r="Q230" s="12">
        <f>_xlfn.XLOOKUP(L230, [1]رواتب!B:B, [1]رواتب!S:S, "")</f>
        <v>4300</v>
      </c>
      <c r="R230" s="14">
        <f t="shared" ca="1" si="2"/>
        <v>80642</v>
      </c>
    </row>
    <row r="231" spans="11:18" x14ac:dyDescent="0.25">
      <c r="K231" s="5">
        <v>225</v>
      </c>
      <c r="L231" s="6">
        <v>2616</v>
      </c>
      <c r="M231" s="6" t="str">
        <f>IFERROR(VLOOKUP(L231, [2]رواتب!B:S, 6, FALSE), "مش موجود")</f>
        <v>نسمة محمد ابراهيم السيد</v>
      </c>
      <c r="N231" s="7" t="str">
        <f>IFERROR(VLOOKUP(L231, [2]رواتب!B:S, 5, FALSE), "مش موجود")</f>
        <v>خط الظهر 1</v>
      </c>
      <c r="O231" s="8"/>
      <c r="P231" s="7"/>
      <c r="Q231" s="7">
        <f>_xlfn.XLOOKUP(L231, [1]رواتب!B:B, [1]رواتب!S:S, "")</f>
        <v>0</v>
      </c>
      <c r="R231" s="9">
        <f t="shared" ca="1" si="2"/>
        <v>71414</v>
      </c>
    </row>
    <row r="232" spans="11:18" x14ac:dyDescent="0.25">
      <c r="K232" s="10">
        <v>226</v>
      </c>
      <c r="L232" s="11">
        <v>2460</v>
      </c>
      <c r="M232" s="11" t="str">
        <f>IFERROR(VLOOKUP(L232, [2]رواتب!B:S, 6, FALSE), "مش موجود")</f>
        <v>محمد محمد حلمى عثمان الحديدى</v>
      </c>
      <c r="N232" s="12" t="str">
        <f>IFERROR(VLOOKUP(L232, [2]رواتب!B:S, 5, FALSE), "مش موجود")</f>
        <v>خط الفنيش 3</v>
      </c>
      <c r="O232" s="13"/>
      <c r="P232" s="12"/>
      <c r="Q232" s="12">
        <f>_xlfn.XLOOKUP(L232, [1]رواتب!B:B, [1]رواتب!S:S, "")</f>
        <v>0</v>
      </c>
      <c r="R232" s="14">
        <f t="shared" ca="1" si="2"/>
        <v>68253</v>
      </c>
    </row>
    <row r="233" spans="11:18" x14ac:dyDescent="0.25">
      <c r="K233" s="5">
        <v>227</v>
      </c>
      <c r="L233" s="6">
        <v>1052</v>
      </c>
      <c r="M233" s="6" t="str">
        <f>IFERROR(VLOOKUP(L233, [2]رواتب!B:S, 6, FALSE), "مش موجود")</f>
        <v>احمد محمد عوض السيد عوض</v>
      </c>
      <c r="N233" s="7" t="str">
        <f>IFERROR(VLOOKUP(L233, [2]رواتب!B:S, 5, FALSE), "مش موجود")</f>
        <v>نهائي</v>
      </c>
      <c r="O233" s="8"/>
      <c r="P233" s="7"/>
      <c r="Q233" s="7">
        <f>_xlfn.XLOOKUP(L233, [1]رواتب!B:B, [1]رواتب!S:S, "")</f>
        <v>4300</v>
      </c>
      <c r="R233" s="9">
        <f t="shared" ca="1" si="2"/>
        <v>62789</v>
      </c>
    </row>
    <row r="234" spans="11:18" x14ac:dyDescent="0.25">
      <c r="K234" s="10">
        <v>228</v>
      </c>
      <c r="L234" s="11">
        <v>3136</v>
      </c>
      <c r="M234" s="11" t="str">
        <f>IFERROR(VLOOKUP(L234, [2]رواتب!B:S, 6, FALSE), "مش موجود")</f>
        <v>نبيلة فؤاد احمد الحلاب</v>
      </c>
      <c r="N234" s="12" t="str">
        <f>IFERROR(VLOOKUP(L234, [2]رواتب!B:S, 5, FALSE), "مش موجود")</f>
        <v>خط الفنيش 3</v>
      </c>
      <c r="O234" s="13"/>
      <c r="P234" s="12"/>
      <c r="Q234" s="12">
        <f>_xlfn.XLOOKUP(L234, [1]رواتب!B:B, [1]رواتب!S:S, "")</f>
        <v>5000</v>
      </c>
      <c r="R234" s="14">
        <f t="shared" ca="1" si="2"/>
        <v>75683</v>
      </c>
    </row>
    <row r="235" spans="11:18" x14ac:dyDescent="0.25">
      <c r="K235" s="5">
        <v>229</v>
      </c>
      <c r="L235" s="6">
        <v>3273</v>
      </c>
      <c r="M235" s="6" t="str">
        <f>IFERROR(VLOOKUP(L235, [2]رواتب!B:S, 6, FALSE), "مش موجود")</f>
        <v>دينا امين محمد حسن وهيب</v>
      </c>
      <c r="N235" s="7" t="str">
        <f>IFERROR(VLOOKUP(L235, [2]رواتب!B:S, 5, FALSE), "مش موجود")</f>
        <v>خط الفنيش 1</v>
      </c>
      <c r="O235" s="8"/>
      <c r="P235" s="7"/>
      <c r="Q235" s="7">
        <f>_xlfn.XLOOKUP(L235, [1]رواتب!B:B, [1]رواتب!S:S, "")</f>
        <v>3000</v>
      </c>
      <c r="R235" s="9">
        <f t="shared" ca="1" si="2"/>
        <v>33620</v>
      </c>
    </row>
    <row r="236" spans="11:18" x14ac:dyDescent="0.25">
      <c r="K236" s="10">
        <v>230</v>
      </c>
      <c r="L236" s="11">
        <v>2570</v>
      </c>
      <c r="M236" s="11" t="str">
        <f>IFERROR(VLOOKUP(L236, [2]رواتب!B:S, 6, FALSE), "مش موجود")</f>
        <v>فوزية محمد محمود طه</v>
      </c>
      <c r="N236" s="12" t="str">
        <f>IFERROR(VLOOKUP(L236, [2]رواتب!B:S, 5, FALSE), "مش موجود")</f>
        <v>خط الفنيش 2</v>
      </c>
      <c r="O236" s="13"/>
      <c r="P236" s="12"/>
      <c r="Q236" s="12">
        <f>_xlfn.XLOOKUP(L236, [1]رواتب!B:B, [1]رواتب!S:S, "")</f>
        <v>5800</v>
      </c>
      <c r="R236" s="14">
        <f t="shared" ca="1" si="2"/>
        <v>51081</v>
      </c>
    </row>
    <row r="237" spans="11:18" x14ac:dyDescent="0.25">
      <c r="K237" s="5">
        <v>231</v>
      </c>
      <c r="L237" s="6">
        <v>3584</v>
      </c>
      <c r="M237" s="6" t="str">
        <f>IFERROR(VLOOKUP(L237, [2]رواتب!B:S, 6, FALSE), "مش موجود")</f>
        <v xml:space="preserve">ابراهيم الدسوقي ابراهيم محمد محمد </v>
      </c>
      <c r="N237" s="7" t="str">
        <f>IFERROR(VLOOKUP(L237, [2]رواتب!B:S, 5, FALSE), "مش موجود")</f>
        <v>نهائي</v>
      </c>
      <c r="O237" s="8"/>
      <c r="P237" s="7"/>
      <c r="Q237" s="7">
        <f>_xlfn.XLOOKUP(L237, [1]رواتب!B:B, [1]رواتب!S:S, "")</f>
        <v>4000</v>
      </c>
      <c r="R237" s="9">
        <f t="shared" ca="1" si="2"/>
        <v>33722</v>
      </c>
    </row>
    <row r="238" spans="11:18" x14ac:dyDescent="0.25">
      <c r="K238" s="10">
        <v>232</v>
      </c>
      <c r="L238" s="11">
        <v>3516</v>
      </c>
      <c r="M238" s="11" t="str">
        <f>IFERROR(VLOOKUP(L238, [2]رواتب!B:S, 6, FALSE), "مش موجود")</f>
        <v>اسامة حسن محمد محمد حسن</v>
      </c>
      <c r="N238" s="12" t="str">
        <f>IFERROR(VLOOKUP(L238, [2]رواتب!B:S, 5, FALSE), "مش موجود")</f>
        <v>الإدارة</v>
      </c>
      <c r="O238" s="13"/>
      <c r="P238" s="12"/>
      <c r="Q238" s="12">
        <f>_xlfn.XLOOKUP(L238, [1]رواتب!B:B, [1]رواتب!S:S, "")</f>
        <v>4000</v>
      </c>
      <c r="R238" s="14">
        <f t="shared" ca="1" si="2"/>
        <v>38557</v>
      </c>
    </row>
    <row r="239" spans="11:18" x14ac:dyDescent="0.25">
      <c r="K239" s="5">
        <v>233</v>
      </c>
      <c r="L239" s="6">
        <v>3581</v>
      </c>
      <c r="M239" s="6" t="str">
        <f>IFERROR(VLOOKUP(L239, [2]رواتب!B:S, 6, FALSE), "مش موجود")</f>
        <v xml:space="preserve">نوال محمود محمود احمد ابراهيم </v>
      </c>
      <c r="N239" s="7" t="str">
        <f>IFERROR(VLOOKUP(L239, [2]رواتب!B:S, 5, FALSE), "مش موجود")</f>
        <v>خط الظهر 2</v>
      </c>
      <c r="O239" s="8"/>
      <c r="P239" s="7"/>
      <c r="Q239" s="7">
        <f>_xlfn.XLOOKUP(L239, [1]رواتب!B:B, [1]رواتب!S:S, "")</f>
        <v>3500</v>
      </c>
      <c r="R239" s="9">
        <f t="shared" ca="1" si="2"/>
        <v>14353</v>
      </c>
    </row>
    <row r="240" spans="11:18" x14ac:dyDescent="0.25">
      <c r="K240" s="10">
        <v>234</v>
      </c>
      <c r="L240" s="11">
        <v>3119</v>
      </c>
      <c r="M240" s="11" t="str">
        <f>IFERROR(VLOOKUP(L240, [2]رواتب!B:S, 6, FALSE), "مش موجود")</f>
        <v>محمد السيد المرسي محمد البدوي</v>
      </c>
      <c r="N240" s="12" t="str">
        <f>IFERROR(VLOOKUP(L240, [2]رواتب!B:S, 5, FALSE), "مش موجود")</f>
        <v>خط الصدر 1</v>
      </c>
      <c r="O240" s="13"/>
      <c r="P240" s="12"/>
      <c r="Q240" s="12">
        <f>_xlfn.XLOOKUP(L240, [1]رواتب!B:B, [1]رواتب!S:S, "")</f>
        <v>6500</v>
      </c>
      <c r="R240" s="14">
        <f t="shared" ca="1" si="2"/>
        <v>49244</v>
      </c>
    </row>
    <row r="241" spans="11:18" x14ac:dyDescent="0.25">
      <c r="K241" s="5">
        <v>235</v>
      </c>
      <c r="L241" s="6">
        <v>2589</v>
      </c>
      <c r="M241" s="6" t="str">
        <f>IFERROR(VLOOKUP(L241, [2]رواتب!B:S, 6, FALSE), "مش موجود")</f>
        <v>محمد السيد محمد شحاتة عبده</v>
      </c>
      <c r="N241" s="7" t="str">
        <f>IFERROR(VLOOKUP(L241, [2]رواتب!B:S, 5, FALSE), "مش موجود")</f>
        <v>الصيانة</v>
      </c>
      <c r="O241" s="8"/>
      <c r="P241" s="7"/>
      <c r="Q241" s="7">
        <f>_xlfn.XLOOKUP(L241, [1]رواتب!B:B, [1]رواتب!S:S, "")</f>
        <v>10000</v>
      </c>
      <c r="R241" s="9">
        <f t="shared" ca="1" si="2"/>
        <v>61380</v>
      </c>
    </row>
    <row r="242" spans="11:18" x14ac:dyDescent="0.25">
      <c r="K242" s="10">
        <v>236</v>
      </c>
      <c r="L242" s="11">
        <v>3586</v>
      </c>
      <c r="M242" s="11" t="str">
        <f>IFERROR(VLOOKUP(L242, [2]رواتب!B:S, 6, FALSE), "مش موجود")</f>
        <v>نورهان فرج احمد سيد احمد الشخطور</v>
      </c>
      <c r="N242" s="12" t="str">
        <f>IFERROR(VLOOKUP(L242, [2]رواتب!B:S, 5, FALSE), "مش موجود")</f>
        <v>خط الظهر 1</v>
      </c>
      <c r="O242" s="13"/>
      <c r="P242" s="12"/>
      <c r="Q242" s="12">
        <f>_xlfn.XLOOKUP(L242, [1]رواتب!B:B, [1]رواتب!S:S, "")</f>
        <v>3500</v>
      </c>
      <c r="R242" s="14">
        <f t="shared" ca="1" si="2"/>
        <v>81264</v>
      </c>
    </row>
    <row r="243" spans="11:18" x14ac:dyDescent="0.25">
      <c r="K243" s="5">
        <v>237</v>
      </c>
      <c r="L243" s="6">
        <v>3341</v>
      </c>
      <c r="M243" s="6" t="str">
        <f>IFERROR(VLOOKUP(L243, [2]رواتب!B:S, 6, FALSE), "مش موجود")</f>
        <v>حنين السيد علي البلاسي جراوي</v>
      </c>
      <c r="N243" s="7" t="str">
        <f>IFERROR(VLOOKUP(L243, [2]رواتب!B:S, 5, FALSE), "مش موجود")</f>
        <v>الإدارة الفنية</v>
      </c>
      <c r="O243" s="8"/>
      <c r="P243" s="7"/>
      <c r="Q243" s="7">
        <f>_xlfn.XLOOKUP(L243, [1]رواتب!B:B, [1]رواتب!S:S, "")</f>
        <v>6000</v>
      </c>
      <c r="R243" s="9">
        <f t="shared" ca="1" si="2"/>
        <v>16973</v>
      </c>
    </row>
    <row r="244" spans="11:18" x14ac:dyDescent="0.25">
      <c r="K244" s="10">
        <v>238</v>
      </c>
      <c r="L244" s="11">
        <v>2554</v>
      </c>
      <c r="M244" s="11" t="str">
        <f>IFERROR(VLOOKUP(L244, [2]رواتب!B:S, 6, FALSE), "مش موجود")</f>
        <v>روحية ابراهيم احمد جعفر</v>
      </c>
      <c r="N244" s="12" t="str">
        <f>IFERROR(VLOOKUP(L244, [2]رواتب!B:S, 5, FALSE), "مش موجود")</f>
        <v>نهائي</v>
      </c>
      <c r="O244" s="13"/>
      <c r="P244" s="12"/>
      <c r="Q244" s="12">
        <f>_xlfn.XLOOKUP(L244, [1]رواتب!B:B, [1]رواتب!S:S, "")</f>
        <v>4300</v>
      </c>
      <c r="R244" s="14">
        <f t="shared" ca="1" si="2"/>
        <v>74037</v>
      </c>
    </row>
    <row r="245" spans="11:18" x14ac:dyDescent="0.25">
      <c r="K245" s="5">
        <v>239</v>
      </c>
      <c r="L245" s="6">
        <v>2462</v>
      </c>
      <c r="M245" s="6" t="str">
        <f>IFERROR(VLOOKUP(L245, [2]رواتب!B:S, 6, FALSE), "مش موجود")</f>
        <v xml:space="preserve">شريهان محمد محمود طه </v>
      </c>
      <c r="N245" s="7" t="str">
        <f>IFERROR(VLOOKUP(L245, [2]رواتب!B:S, 5, FALSE), "مش موجود")</f>
        <v>الجودة</v>
      </c>
      <c r="O245" s="8"/>
      <c r="P245" s="7"/>
      <c r="Q245" s="7">
        <f>_xlfn.XLOOKUP(L245, [1]رواتب!B:B, [1]رواتب!S:S, "")</f>
        <v>7000</v>
      </c>
      <c r="R245" s="9">
        <f t="shared" ca="1" si="2"/>
        <v>88428</v>
      </c>
    </row>
    <row r="246" spans="11:18" x14ac:dyDescent="0.25">
      <c r="K246" s="10">
        <v>240</v>
      </c>
      <c r="L246" s="11">
        <v>3520</v>
      </c>
      <c r="M246" s="11" t="str">
        <f>IFERROR(VLOOKUP(L246, [2]رواتب!B:S, 6, FALSE), "مش موجود")</f>
        <v>احترام احمد السيد علي</v>
      </c>
      <c r="N246" s="12" t="str">
        <f>IFERROR(VLOOKUP(L246, [2]رواتب!B:S, 5, FALSE), "مش موجود")</f>
        <v>خط الفنيش 2</v>
      </c>
      <c r="O246" s="13"/>
      <c r="P246" s="12"/>
      <c r="Q246" s="12">
        <f>_xlfn.XLOOKUP(L246, [1]رواتب!B:B, [1]رواتب!S:S, "")</f>
        <v>3500</v>
      </c>
      <c r="R246" s="14">
        <f t="shared" ca="1" si="2"/>
        <v>21218</v>
      </c>
    </row>
    <row r="247" spans="11:18" x14ac:dyDescent="0.25">
      <c r="K247" s="5">
        <v>241</v>
      </c>
      <c r="L247" s="6">
        <v>3265</v>
      </c>
      <c r="M247" s="6" t="str">
        <f>IFERROR(VLOOKUP(L247, [2]رواتب!B:S, 6, FALSE), "مش موجود")</f>
        <v xml:space="preserve">واطفة  محمود عبده عبدالله </v>
      </c>
      <c r="N247" s="7" t="str">
        <f>IFERROR(VLOOKUP(L247, [2]رواتب!B:S, 5, FALSE), "مش موجود")</f>
        <v>خط الظهر 1</v>
      </c>
      <c r="O247" s="8"/>
      <c r="P247" s="7"/>
      <c r="Q247" s="7">
        <f>_xlfn.XLOOKUP(L247, [1]رواتب!B:B, [1]رواتب!S:S, "")</f>
        <v>4500</v>
      </c>
      <c r="R247" s="9">
        <f t="shared" ca="1" si="2"/>
        <v>23543</v>
      </c>
    </row>
    <row r="248" spans="11:18" x14ac:dyDescent="0.25">
      <c r="K248" s="10">
        <v>242</v>
      </c>
      <c r="L248" s="11">
        <v>2695</v>
      </c>
      <c r="M248" s="11" t="str">
        <f>IFERROR(VLOOKUP(L248, [2]رواتب!B:S, 6, FALSE), "مش موجود")</f>
        <v>نوران شوقي السيد عرفات</v>
      </c>
      <c r="N248" s="12" t="str">
        <f>IFERROR(VLOOKUP(L248, [2]رواتب!B:S, 5, FALSE), "مش موجود")</f>
        <v>خط الظهر 1</v>
      </c>
      <c r="O248" s="13"/>
      <c r="P248" s="12"/>
      <c r="Q248" s="12">
        <f>_xlfn.XLOOKUP(L248, [1]رواتب!B:B, [1]رواتب!S:S, "")</f>
        <v>4000</v>
      </c>
      <c r="R248" s="14">
        <f t="shared" ca="1" si="2"/>
        <v>61549</v>
      </c>
    </row>
    <row r="249" spans="11:18" x14ac:dyDescent="0.25">
      <c r="K249" s="5">
        <v>243</v>
      </c>
      <c r="L249" s="6">
        <v>2744</v>
      </c>
      <c r="M249" s="6" t="str">
        <f>IFERROR(VLOOKUP(L249, [2]رواتب!B:S, 6, FALSE), "مش موجود")</f>
        <v>يوسف السيد محمد حامد الحديدي</v>
      </c>
      <c r="N249" s="7" t="str">
        <f>IFERROR(VLOOKUP(L249, [2]رواتب!B:S, 5, FALSE), "مش موجود")</f>
        <v>خط الفنيش 3</v>
      </c>
      <c r="O249" s="8"/>
      <c r="P249" s="7"/>
      <c r="Q249" s="7">
        <f>_xlfn.XLOOKUP(L249, [1]رواتب!B:B, [1]رواتب!S:S, "")</f>
        <v>6000</v>
      </c>
      <c r="R249" s="9">
        <f t="shared" ca="1" si="2"/>
        <v>47989</v>
      </c>
    </row>
    <row r="250" spans="11:18" x14ac:dyDescent="0.25">
      <c r="K250" s="10">
        <v>244</v>
      </c>
      <c r="L250" s="11">
        <v>53</v>
      </c>
      <c r="M250" s="11" t="str">
        <f>IFERROR(VLOOKUP(L250, [2]رواتب!B:S, 6, FALSE), "مش موجود")</f>
        <v xml:space="preserve">هبه محمد رزق الشربيني الشاذلي </v>
      </c>
      <c r="N250" s="12" t="str">
        <f>IFERROR(VLOOKUP(L250, [2]رواتب!B:S, 5, FALSE), "مش موجود")</f>
        <v>خط الفنيش 1</v>
      </c>
      <c r="O250" s="13"/>
      <c r="P250" s="12"/>
      <c r="Q250" s="12">
        <f>_xlfn.XLOOKUP(L250, [1]رواتب!B:B, [1]رواتب!S:S, "")</f>
        <v>3000</v>
      </c>
      <c r="R250" s="14">
        <f t="shared" ca="1" si="2"/>
        <v>79979</v>
      </c>
    </row>
    <row r="251" spans="11:18" x14ac:dyDescent="0.25">
      <c r="K251" s="5">
        <v>245</v>
      </c>
      <c r="L251" s="6">
        <v>3429</v>
      </c>
      <c r="M251" s="6" t="str">
        <f>IFERROR(VLOOKUP(L251, [2]رواتب!B:S, 6, FALSE), "مش موجود")</f>
        <v>ريهام عبده محمد طلعت</v>
      </c>
      <c r="N251" s="7" t="str">
        <f>IFERROR(VLOOKUP(L251, [2]رواتب!B:S, 5, FALSE), "مش موجود")</f>
        <v>الامن</v>
      </c>
      <c r="O251" s="8"/>
      <c r="P251" s="7"/>
      <c r="Q251" s="7">
        <f>_xlfn.XLOOKUP(L251, [1]رواتب!B:B, [1]رواتب!S:S, "")</f>
        <v>4400</v>
      </c>
      <c r="R251" s="9">
        <f t="shared" ca="1" si="2"/>
        <v>31623</v>
      </c>
    </row>
    <row r="252" spans="11:18" x14ac:dyDescent="0.25">
      <c r="K252" s="10">
        <v>246</v>
      </c>
      <c r="L252" s="11">
        <v>3431</v>
      </c>
      <c r="M252" s="11" t="str">
        <f>IFERROR(VLOOKUP(L252, [2]رواتب!B:S, 6, FALSE), "مش موجود")</f>
        <v>ممدوح ابو زيد السيد صالح</v>
      </c>
      <c r="N252" s="12" t="str">
        <f>IFERROR(VLOOKUP(L252, [2]رواتب!B:S, 5, FALSE), "مش موجود")</f>
        <v>خط الظهر 3</v>
      </c>
      <c r="O252" s="13"/>
      <c r="P252" s="12"/>
      <c r="Q252" s="12">
        <f>_xlfn.XLOOKUP(L252, [1]رواتب!B:B, [1]رواتب!S:S, "")</f>
        <v>7500</v>
      </c>
      <c r="R252" s="14">
        <f t="shared" ca="1" si="2"/>
        <v>13786</v>
      </c>
    </row>
    <row r="253" spans="11:18" x14ac:dyDescent="0.25">
      <c r="K253" s="5">
        <v>247</v>
      </c>
      <c r="L253" s="6">
        <v>3565</v>
      </c>
      <c r="M253" s="6" t="str">
        <f>IFERROR(VLOOKUP(L253, [2]رواتب!B:S, 6, FALSE), "مش موجود")</f>
        <v xml:space="preserve">محمد محمود عبدالحميد احمد بحر </v>
      </c>
      <c r="N253" s="7" t="str">
        <f>IFERROR(VLOOKUP(L253, [2]رواتب!B:S, 5, FALSE), "مش موجود")</f>
        <v>الإدارة</v>
      </c>
      <c r="O253" s="8"/>
      <c r="P253" s="7"/>
      <c r="Q253" s="7">
        <f>_xlfn.XLOOKUP(L253, [1]رواتب!B:B, [1]رواتب!S:S, "")</f>
        <v>20000</v>
      </c>
      <c r="R253" s="9">
        <f t="shared" ca="1" si="2"/>
        <v>64579</v>
      </c>
    </row>
    <row r="254" spans="11:18" x14ac:dyDescent="0.25">
      <c r="K254" s="10">
        <v>248</v>
      </c>
      <c r="L254" s="11">
        <v>58</v>
      </c>
      <c r="M254" s="11" t="str">
        <f>IFERROR(VLOOKUP(L254, [2]رواتب!B:S, 6, FALSE), "مش موجود")</f>
        <v>بسملة احمد كامل عبدالعال</v>
      </c>
      <c r="N254" s="12" t="str">
        <f>IFERROR(VLOOKUP(L254, [2]رواتب!B:S, 5, FALSE), "مش موجود")</f>
        <v>خط الفنيش 2</v>
      </c>
      <c r="O254" s="13"/>
      <c r="P254" s="12"/>
      <c r="Q254" s="12">
        <f>_xlfn.XLOOKUP(L254, [1]رواتب!B:B, [1]رواتب!S:S, "")</f>
        <v>3000</v>
      </c>
      <c r="R254" s="14">
        <f t="shared" ca="1" si="2"/>
        <v>51623</v>
      </c>
    </row>
    <row r="255" spans="11:18" x14ac:dyDescent="0.25">
      <c r="K255" s="5">
        <v>249</v>
      </c>
      <c r="L255" s="6">
        <v>3430</v>
      </c>
      <c r="M255" s="6" t="str">
        <f>IFERROR(VLOOKUP(L255, [2]رواتب!B:S, 6, FALSE), "مش موجود")</f>
        <v>محمد عامر ابراهيم الفقي</v>
      </c>
      <c r="N255" s="7" t="str">
        <f>IFERROR(VLOOKUP(L255, [2]رواتب!B:S, 5, FALSE), "مش موجود")</f>
        <v>نهائي</v>
      </c>
      <c r="O255" s="8"/>
      <c r="P255" s="7"/>
      <c r="Q255" s="7">
        <f>_xlfn.XLOOKUP(L255, [1]رواتب!B:B, [1]رواتب!S:S, "")</f>
        <v>4800</v>
      </c>
      <c r="R255" s="9">
        <f t="shared" ca="1" si="2"/>
        <v>39092</v>
      </c>
    </row>
    <row r="256" spans="11:18" x14ac:dyDescent="0.25">
      <c r="K256" s="10">
        <v>250</v>
      </c>
      <c r="L256" s="11">
        <v>3522</v>
      </c>
      <c r="M256" s="11" t="str">
        <f>IFERROR(VLOOKUP(L256, [2]رواتب!B:S, 6, FALSE), "مش موجود")</f>
        <v>صابرين محمد الدداموني ابراهيم العاصي</v>
      </c>
      <c r="N256" s="12" t="str">
        <f>IFERROR(VLOOKUP(L256, [2]رواتب!B:S, 5, FALSE), "مش موجود")</f>
        <v>خط الفنيش 2</v>
      </c>
      <c r="O256" s="13"/>
      <c r="P256" s="12"/>
      <c r="Q256" s="12">
        <f>_xlfn.XLOOKUP(L256, [1]رواتب!B:B, [1]رواتب!S:S, "")</f>
        <v>3500</v>
      </c>
      <c r="R256" s="14">
        <f t="shared" ca="1" si="2"/>
        <v>64905</v>
      </c>
    </row>
    <row r="257" spans="11:18" x14ac:dyDescent="0.25">
      <c r="K257" s="5">
        <v>251</v>
      </c>
      <c r="L257" s="6">
        <v>62</v>
      </c>
      <c r="M257" s="6" t="str">
        <f>IFERROR(VLOOKUP(L257, [2]رواتب!B:S, 6, FALSE), "مش موجود")</f>
        <v>فاطمة الزهراء عبدالله طه</v>
      </c>
      <c r="N257" s="7" t="str">
        <f>IFERROR(VLOOKUP(L257, [2]رواتب!B:S, 5, FALSE), "مش موجود")</f>
        <v>خط الفنيش 3</v>
      </c>
      <c r="O257" s="8"/>
      <c r="P257" s="7"/>
      <c r="Q257" s="7">
        <f>_xlfn.XLOOKUP(L257, [1]رواتب!B:B, [1]رواتب!S:S, "")</f>
        <v>2000</v>
      </c>
      <c r="R257" s="9">
        <f t="shared" ca="1" si="2"/>
        <v>98684</v>
      </c>
    </row>
    <row r="258" spans="11:18" x14ac:dyDescent="0.25">
      <c r="K258" s="10">
        <v>252</v>
      </c>
      <c r="L258" s="11">
        <v>3019</v>
      </c>
      <c r="M258" s="11" t="str">
        <f>IFERROR(VLOOKUP(L258, [2]رواتب!B:S, 6, FALSE), "مش موجود")</f>
        <v>يوسف شريف السيد حامد حسانين</v>
      </c>
      <c r="N258" s="12" t="str">
        <f>IFERROR(VLOOKUP(L258, [2]رواتب!B:S, 5, FALSE), "مش موجود")</f>
        <v>الصيانة</v>
      </c>
      <c r="O258" s="13"/>
      <c r="P258" s="12"/>
      <c r="Q258" s="12">
        <f>_xlfn.XLOOKUP(L258, [1]رواتب!B:B, [1]رواتب!S:S, "")</f>
        <v>4500</v>
      </c>
      <c r="R258" s="14">
        <f t="shared" ca="1" si="2"/>
        <v>68410</v>
      </c>
    </row>
    <row r="259" spans="11:18" x14ac:dyDescent="0.25">
      <c r="K259" s="5">
        <v>253</v>
      </c>
      <c r="L259" s="6">
        <v>2614</v>
      </c>
      <c r="M259" s="6" t="str">
        <f>IFERROR(VLOOKUP(L259, [2]رواتب!B:S, 6, FALSE), "مش موجود")</f>
        <v>كريم عاطف الجرايحي إسماعيل</v>
      </c>
      <c r="N259" s="7" t="str">
        <f>IFERROR(VLOOKUP(L259, [2]رواتب!B:S, 5, FALSE), "مش موجود")</f>
        <v>خط الظهر 3</v>
      </c>
      <c r="O259" s="8"/>
      <c r="P259" s="7"/>
      <c r="Q259" s="7">
        <f>_xlfn.XLOOKUP(L259, [1]رواتب!B:B, [1]رواتب!S:S, "")</f>
        <v>8500</v>
      </c>
      <c r="R259" s="9">
        <f t="shared" ca="1" si="2"/>
        <v>78606</v>
      </c>
    </row>
    <row r="260" spans="11:18" x14ac:dyDescent="0.25">
      <c r="K260" s="10">
        <v>254</v>
      </c>
      <c r="L260" s="11">
        <v>3335</v>
      </c>
      <c r="M260" s="11" t="str">
        <f>IFERROR(VLOOKUP(L260, [2]رواتب!B:S, 6, FALSE), "مش موجود")</f>
        <v>سهام محمود ابراهيم محمد</v>
      </c>
      <c r="N260" s="12" t="str">
        <f>IFERROR(VLOOKUP(L260, [2]رواتب!B:S, 5, FALSE), "مش موجود")</f>
        <v>خط الفنيش 1</v>
      </c>
      <c r="O260" s="13"/>
      <c r="P260" s="12"/>
      <c r="Q260" s="12">
        <f>_xlfn.XLOOKUP(L260, [1]رواتب!B:B, [1]رواتب!S:S, "")</f>
        <v>3300</v>
      </c>
      <c r="R260" s="14">
        <f t="shared" ca="1" si="2"/>
        <v>94816</v>
      </c>
    </row>
    <row r="261" spans="11:18" x14ac:dyDescent="0.25">
      <c r="K261" s="5">
        <v>255</v>
      </c>
      <c r="L261" s="6">
        <v>3142</v>
      </c>
      <c r="M261" s="6" t="str">
        <f>IFERROR(VLOOKUP(L261, [2]رواتب!B:S, 6, FALSE), "مش موجود")</f>
        <v xml:space="preserve"> محمد عبدالغني راغب عبد المجيد</v>
      </c>
      <c r="N261" s="7" t="str">
        <f>IFERROR(VLOOKUP(L261, [2]رواتب!B:S, 5, FALSE), "مش موجود")</f>
        <v>خدمات</v>
      </c>
      <c r="O261" s="8"/>
      <c r="P261" s="7"/>
      <c r="Q261" s="7">
        <f>_xlfn.XLOOKUP(L261, [1]رواتب!B:B, [1]رواتب!S:S, "")</f>
        <v>4000</v>
      </c>
      <c r="R261" s="9">
        <f t="shared" ca="1" si="2"/>
        <v>79806</v>
      </c>
    </row>
    <row r="262" spans="11:18" x14ac:dyDescent="0.25">
      <c r="K262" s="10">
        <v>256</v>
      </c>
      <c r="L262" s="11">
        <v>2617</v>
      </c>
      <c r="M262" s="11" t="str">
        <f>IFERROR(VLOOKUP(L262, [2]رواتب!B:S, 6, FALSE), "مش موجود")</f>
        <v>يوسف مجاهد رشاد سالم</v>
      </c>
      <c r="N262" s="12" t="str">
        <f>IFERROR(VLOOKUP(L262, [2]رواتب!B:S, 5, FALSE), "مش موجود")</f>
        <v>خط الصدر 1</v>
      </c>
      <c r="O262" s="13"/>
      <c r="P262" s="12"/>
      <c r="Q262" s="12">
        <f>_xlfn.XLOOKUP(L262, [1]رواتب!B:B, [1]رواتب!S:S, "")</f>
        <v>6500</v>
      </c>
      <c r="R262" s="14">
        <f t="shared" ca="1" si="2"/>
        <v>11115</v>
      </c>
    </row>
    <row r="263" spans="11:18" x14ac:dyDescent="0.25">
      <c r="K263" s="5">
        <v>257</v>
      </c>
      <c r="L263" s="6">
        <v>3183</v>
      </c>
      <c r="M263" s="6" t="str">
        <f>IFERROR(VLOOKUP(L263, [2]رواتب!B:S, 6, FALSE), "مش موجود")</f>
        <v>عبدالله خالد حلمي خميس فياض</v>
      </c>
      <c r="N263" s="7" t="str">
        <f>IFERROR(VLOOKUP(L263, [2]رواتب!B:S, 5, FALSE), "مش موجود")</f>
        <v>مخازن</v>
      </c>
      <c r="O263" s="8"/>
      <c r="P263" s="7"/>
      <c r="Q263" s="7">
        <f>_xlfn.XLOOKUP(L263, [1]رواتب!B:B, [1]رواتب!S:S, "")</f>
        <v>0</v>
      </c>
      <c r="R263" s="9">
        <f t="shared" ca="1" si="2"/>
        <v>71749</v>
      </c>
    </row>
    <row r="264" spans="11:18" x14ac:dyDescent="0.25">
      <c r="K264" s="10">
        <v>258</v>
      </c>
      <c r="L264" s="11">
        <v>2750</v>
      </c>
      <c r="M264" s="11" t="str">
        <f>IFERROR(VLOOKUP(L264, [2]رواتب!B:S, 6, FALSE), "مش موجود")</f>
        <v>عائشة عطا محمد الداودي</v>
      </c>
      <c r="N264" s="12" t="str">
        <f>IFERROR(VLOOKUP(L264, [2]رواتب!B:S, 5, FALSE), "مش موجود")</f>
        <v>خط الظهر 1</v>
      </c>
      <c r="O264" s="13"/>
      <c r="P264" s="12"/>
      <c r="Q264" s="12">
        <f>_xlfn.XLOOKUP(L264, [1]رواتب!B:B, [1]رواتب!S:S, "")</f>
        <v>6000</v>
      </c>
      <c r="R264" s="14">
        <f t="shared" ca="1" si="2"/>
        <v>65865</v>
      </c>
    </row>
    <row r="265" spans="11:18" x14ac:dyDescent="0.25">
      <c r="K265" s="5">
        <v>259</v>
      </c>
      <c r="L265" s="6">
        <v>3301</v>
      </c>
      <c r="M265" s="6" t="str">
        <f>IFERROR(VLOOKUP(L265, [2]رواتب!B:S, 6, FALSE), "مش موجود")</f>
        <v>ياسين اشرف فهمي السيد بدير</v>
      </c>
      <c r="N265" s="7" t="str">
        <f>IFERROR(VLOOKUP(L265, [2]رواتب!B:S, 5, FALSE), "مش موجود")</f>
        <v>عراوي</v>
      </c>
      <c r="O265" s="8"/>
      <c r="P265" s="7"/>
      <c r="Q265" s="7">
        <f>_xlfn.XLOOKUP(L265, [1]رواتب!B:B, [1]رواتب!S:S, "")</f>
        <v>3000</v>
      </c>
      <c r="R265" s="9">
        <f t="shared" ca="1" si="2"/>
        <v>56424</v>
      </c>
    </row>
    <row r="266" spans="11:18" x14ac:dyDescent="0.25">
      <c r="K266" s="10">
        <v>260</v>
      </c>
      <c r="L266" s="11">
        <v>3566</v>
      </c>
      <c r="M266" s="11" t="str">
        <f>IFERROR(VLOOKUP(L266, [2]رواتب!B:S, 6, FALSE), "مش موجود")</f>
        <v>كريمان حمزة حامد محمد هندام</v>
      </c>
      <c r="N266" s="12" t="str">
        <f>IFERROR(VLOOKUP(L266, [2]رواتب!B:S, 5, FALSE), "مش موجود")</f>
        <v>خط الظهر 3</v>
      </c>
      <c r="O266" s="13"/>
      <c r="P266" s="12"/>
      <c r="Q266" s="12">
        <f>_xlfn.XLOOKUP(L266, [1]رواتب!B:B, [1]رواتب!S:S, "")</f>
        <v>4500</v>
      </c>
      <c r="R266" s="14">
        <f t="shared" ca="1" si="2"/>
        <v>97594</v>
      </c>
    </row>
    <row r="267" spans="11:18" x14ac:dyDescent="0.25">
      <c r="K267" s="5">
        <v>261</v>
      </c>
      <c r="L267" s="6">
        <v>2696</v>
      </c>
      <c r="M267" s="6" t="str">
        <f>IFERROR(VLOOKUP(L267, [2]رواتب!B:S, 6, FALSE), "مش موجود")</f>
        <v>يوسف احمد محمد بدير</v>
      </c>
      <c r="N267" s="7" t="str">
        <f>IFERROR(VLOOKUP(L267, [2]رواتب!B:S, 5, FALSE), "مش موجود")</f>
        <v>خط الظهر 3</v>
      </c>
      <c r="O267" s="8"/>
      <c r="P267" s="7"/>
      <c r="Q267" s="7">
        <f>_xlfn.XLOOKUP(L267, [1]رواتب!B:B, [1]رواتب!S:S, "")</f>
        <v>6500</v>
      </c>
      <c r="R267" s="9">
        <f t="shared" ca="1" si="2"/>
        <v>67972</v>
      </c>
    </row>
    <row r="268" spans="11:18" x14ac:dyDescent="0.25">
      <c r="K268" s="10">
        <v>262</v>
      </c>
      <c r="L268" s="11">
        <v>2178</v>
      </c>
      <c r="M268" s="11" t="str">
        <f>IFERROR(VLOOKUP(L268, [2]رواتب!B:S, 6, FALSE), "مش موجود")</f>
        <v>احمد محمد احمد عرفات</v>
      </c>
      <c r="N268" s="12" t="str">
        <f>IFERROR(VLOOKUP(L268, [2]رواتب!B:S, 5, FALSE), "مش موجود")</f>
        <v>المكواه</v>
      </c>
      <c r="O268" s="13"/>
      <c r="P268" s="12"/>
      <c r="Q268" s="12">
        <f>_xlfn.XLOOKUP(L268, [1]رواتب!B:B, [1]رواتب!S:S, "")</f>
        <v>7000</v>
      </c>
      <c r="R268" s="14">
        <f t="shared" ca="1" si="2"/>
        <v>15991</v>
      </c>
    </row>
    <row r="269" spans="11:18" x14ac:dyDescent="0.25">
      <c r="K269" s="5">
        <v>263</v>
      </c>
      <c r="L269" s="6">
        <v>3067</v>
      </c>
      <c r="M269" s="6" t="str">
        <f>IFERROR(VLOOKUP(L269, [2]رواتب!B:S, 6, FALSE), "مش موجود")</f>
        <v>فارس محمد احمد ابو المعاطي</v>
      </c>
      <c r="N269" s="7" t="str">
        <f>IFERROR(VLOOKUP(L269, [2]رواتب!B:S, 5, FALSE), "مش موجود")</f>
        <v>المكواه</v>
      </c>
      <c r="O269" s="8"/>
      <c r="P269" s="7"/>
      <c r="Q269" s="7">
        <f>_xlfn.XLOOKUP(L269, [1]رواتب!B:B, [1]رواتب!S:S, "")</f>
        <v>5500</v>
      </c>
      <c r="R269" s="9">
        <f t="shared" ca="1" si="2"/>
        <v>47455</v>
      </c>
    </row>
    <row r="270" spans="11:18" x14ac:dyDescent="0.25">
      <c r="K270" s="10">
        <v>264</v>
      </c>
      <c r="L270" s="11">
        <v>3339</v>
      </c>
      <c r="M270" s="11" t="str">
        <f>IFERROR(VLOOKUP(L270, [2]رواتب!B:S, 6, FALSE), "مش موجود")</f>
        <v>علي عبده ابراهيم التابعي</v>
      </c>
      <c r="N270" s="12" t="str">
        <f>IFERROR(VLOOKUP(L270, [2]رواتب!B:S, 5, FALSE), "مش موجود")</f>
        <v>القص</v>
      </c>
      <c r="O270" s="13"/>
      <c r="P270" s="12"/>
      <c r="Q270" s="12">
        <f>_xlfn.XLOOKUP(L270, [1]رواتب!B:B, [1]رواتب!S:S, "")</f>
        <v>5500</v>
      </c>
      <c r="R270" s="14">
        <f t="shared" ca="1" si="2"/>
        <v>96053</v>
      </c>
    </row>
    <row r="271" spans="11:18" x14ac:dyDescent="0.25">
      <c r="K271" s="5">
        <v>265</v>
      </c>
      <c r="L271" s="6">
        <v>3523</v>
      </c>
      <c r="M271" s="6" t="str">
        <f>IFERROR(VLOOKUP(L271, [2]رواتب!B:S, 6, FALSE), "مش موجود")</f>
        <v>سلمى محمد عزت الطنطاوي غانم</v>
      </c>
      <c r="N271" s="7" t="str">
        <f>IFERROR(VLOOKUP(L271, [2]رواتب!B:S, 5, FALSE), "مش موجود")</f>
        <v>خط الظهر 2</v>
      </c>
      <c r="O271" s="8"/>
      <c r="P271" s="7"/>
      <c r="Q271" s="7">
        <f>_xlfn.XLOOKUP(L271, [1]رواتب!B:B, [1]رواتب!S:S, "")</f>
        <v>4500</v>
      </c>
      <c r="R271" s="9">
        <f t="shared" ca="1" si="2"/>
        <v>31222</v>
      </c>
    </row>
    <row r="272" spans="11:18" x14ac:dyDescent="0.25">
      <c r="K272" s="10">
        <v>266</v>
      </c>
      <c r="L272" s="11">
        <v>2261</v>
      </c>
      <c r="M272" s="11" t="str">
        <f>IFERROR(VLOOKUP(L272, [2]رواتب!B:S, 6, FALSE), "مش موجود")</f>
        <v>احمد احمد محمد سليمان</v>
      </c>
      <c r="N272" s="12" t="str">
        <f>IFERROR(VLOOKUP(L272, [2]رواتب!B:S, 5, FALSE), "مش موجود")</f>
        <v>خط الفنيش 2</v>
      </c>
      <c r="O272" s="13"/>
      <c r="P272" s="12"/>
      <c r="Q272" s="12">
        <f>_xlfn.XLOOKUP(L272, [1]رواتب!B:B, [1]رواتب!S:S, "")</f>
        <v>6500</v>
      </c>
      <c r="R272" s="14">
        <f t="shared" ca="1" si="2"/>
        <v>83513</v>
      </c>
    </row>
    <row r="273" spans="11:18" x14ac:dyDescent="0.25">
      <c r="K273" s="5">
        <v>267</v>
      </c>
      <c r="L273" s="6">
        <v>3215</v>
      </c>
      <c r="M273" s="6" t="str">
        <f>IFERROR(VLOOKUP(L273, [2]رواتب!B:S, 6, FALSE), "مش موجود")</f>
        <v>شريهان محمد ابو العينين السيد</v>
      </c>
      <c r="N273" s="7" t="str">
        <f>IFERROR(VLOOKUP(L273, [2]رواتب!B:S, 5, FALSE), "مش موجود")</f>
        <v>التجهيز</v>
      </c>
      <c r="O273" s="8"/>
      <c r="P273" s="7"/>
      <c r="Q273" s="7">
        <f>_xlfn.XLOOKUP(L273, [1]رواتب!B:B, [1]رواتب!S:S, "")</f>
        <v>4300</v>
      </c>
      <c r="R273" s="9">
        <f t="shared" ca="1" si="2"/>
        <v>93220</v>
      </c>
    </row>
    <row r="274" spans="11:18" x14ac:dyDescent="0.25">
      <c r="K274" s="10">
        <v>268</v>
      </c>
      <c r="L274" s="11">
        <v>3588</v>
      </c>
      <c r="M274" s="11" t="str">
        <f>IFERROR(VLOOKUP(L274, [2]رواتب!B:S, 6, FALSE), "مش موجود")</f>
        <v>منة الله عادل محمد خليل</v>
      </c>
      <c r="N274" s="12" t="str">
        <f>IFERROR(VLOOKUP(L274, [2]رواتب!B:S, 5, FALSE), "مش موجود")</f>
        <v>خط الظهر 2</v>
      </c>
      <c r="O274" s="13"/>
      <c r="P274" s="12"/>
      <c r="Q274" s="12">
        <f>_xlfn.XLOOKUP(L274, [1]رواتب!B:B, [1]رواتب!S:S, "")</f>
        <v>4500</v>
      </c>
      <c r="R274" s="14">
        <f t="shared" ca="1" si="2"/>
        <v>16134</v>
      </c>
    </row>
    <row r="275" spans="11:18" x14ac:dyDescent="0.25">
      <c r="K275" s="5">
        <v>269</v>
      </c>
      <c r="L275" s="6">
        <v>3525</v>
      </c>
      <c r="M275" s="6" t="str">
        <f>IFERROR(VLOOKUP(L275, [2]رواتب!B:S, 6, FALSE), "مش موجود")</f>
        <v>ياسمين محمد الاباصيري سليم</v>
      </c>
      <c r="N275" s="7" t="str">
        <f>IFERROR(VLOOKUP(L275, [2]رواتب!B:S, 5, FALSE), "مش موجود")</f>
        <v>عراوي</v>
      </c>
      <c r="O275" s="8"/>
      <c r="P275" s="7"/>
      <c r="Q275" s="7">
        <f>_xlfn.XLOOKUP(L275, [1]رواتب!B:B, [1]رواتب!S:S, "")</f>
        <v>4500</v>
      </c>
      <c r="R275" s="9">
        <f t="shared" ca="1" si="2"/>
        <v>84047</v>
      </c>
    </row>
    <row r="276" spans="11:18" x14ac:dyDescent="0.25">
      <c r="K276" s="10">
        <v>270</v>
      </c>
      <c r="L276" s="11">
        <v>2646</v>
      </c>
      <c r="M276" s="11" t="str">
        <f>IFERROR(VLOOKUP(L276, [2]رواتب!B:S, 6, FALSE), "مش موجود")</f>
        <v>محمد احمد عبدالحليم</v>
      </c>
      <c r="N276" s="12" t="str">
        <f>IFERROR(VLOOKUP(L276, [2]رواتب!B:S, 5, FALSE), "مش موجود")</f>
        <v>عراوي</v>
      </c>
      <c r="O276" s="13"/>
      <c r="P276" s="12"/>
      <c r="Q276" s="12">
        <f>_xlfn.XLOOKUP(L276, [1]رواتب!B:B, [1]رواتب!S:S, "")</f>
        <v>5000</v>
      </c>
      <c r="R276" s="14">
        <f t="shared" ca="1" si="2"/>
        <v>47299</v>
      </c>
    </row>
    <row r="277" spans="11:18" x14ac:dyDescent="0.25">
      <c r="K277" s="5">
        <v>271</v>
      </c>
      <c r="L277" s="6">
        <v>3590</v>
      </c>
      <c r="M277" s="6" t="str">
        <f>IFERROR(VLOOKUP(L277, [2]رواتب!B:S, 6, FALSE), "مش موجود")</f>
        <v>عبد الرحمن السعيد المرسي شطا</v>
      </c>
      <c r="N277" s="7" t="str">
        <f>IFERROR(VLOOKUP(L277, [2]رواتب!B:S, 5, FALSE), "مش موجود")</f>
        <v>عراوي</v>
      </c>
      <c r="O277" s="8"/>
      <c r="P277" s="7"/>
      <c r="Q277" s="7">
        <f>_xlfn.XLOOKUP(L277, [1]رواتب!B:B, [1]رواتب!S:S, "")</f>
        <v>7300</v>
      </c>
      <c r="R277" s="9">
        <f t="shared" ca="1" si="2"/>
        <v>34764</v>
      </c>
    </row>
    <row r="278" spans="11:18" x14ac:dyDescent="0.25">
      <c r="K278" s="10">
        <v>272</v>
      </c>
      <c r="L278" s="11">
        <v>2260</v>
      </c>
      <c r="M278" s="11" t="str">
        <f>IFERROR(VLOOKUP(L278, [2]رواتب!B:S, 6, FALSE), "مش موجود")</f>
        <v>إبراهيم عبده خطاب</v>
      </c>
      <c r="N278" s="12" t="str">
        <f>IFERROR(VLOOKUP(L278, [2]رواتب!B:S, 5, FALSE), "مش موجود")</f>
        <v>خط الصدر 3</v>
      </c>
      <c r="O278" s="13"/>
      <c r="P278" s="12"/>
      <c r="Q278" s="12">
        <f>_xlfn.XLOOKUP(L278, [1]رواتب!B:B, [1]رواتب!S:S, "")</f>
        <v>6700</v>
      </c>
      <c r="R278" s="14">
        <f t="shared" ca="1" si="2"/>
        <v>96058</v>
      </c>
    </row>
    <row r="279" spans="11:18" x14ac:dyDescent="0.25">
      <c r="K279" s="5">
        <v>273</v>
      </c>
      <c r="L279" s="6">
        <v>2624</v>
      </c>
      <c r="M279" s="6" t="str">
        <f>IFERROR(VLOOKUP(L279, [2]رواتب!B:S, 6, FALSE), "مش موجود")</f>
        <v>ميادة فريد عوض فرح</v>
      </c>
      <c r="N279" s="7" t="str">
        <f>IFERROR(VLOOKUP(L279, [2]رواتب!B:S, 5, FALSE), "مش موجود")</f>
        <v>خط الظهر 1</v>
      </c>
      <c r="O279" s="8"/>
      <c r="P279" s="7"/>
      <c r="Q279" s="7">
        <f>_xlfn.XLOOKUP(L279, [1]رواتب!B:B, [1]رواتب!S:S, "")</f>
        <v>3800</v>
      </c>
      <c r="R279" s="9">
        <f t="shared" ref="R279:R342" ca="1" si="3">RANDBETWEEN(10000,99999)</f>
        <v>51989</v>
      </c>
    </row>
    <row r="280" spans="11:18" x14ac:dyDescent="0.25">
      <c r="K280" s="10">
        <v>274</v>
      </c>
      <c r="L280" s="11">
        <v>2647</v>
      </c>
      <c r="M280" s="11" t="str">
        <f>IFERROR(VLOOKUP(L280, [2]رواتب!B:S, 6, FALSE), "مش موجود")</f>
        <v>محمد السيد حامد محمد</v>
      </c>
      <c r="N280" s="12" t="str">
        <f>IFERROR(VLOOKUP(L280, [2]رواتب!B:S, 5, FALSE), "مش موجود")</f>
        <v>خط الصدر 2</v>
      </c>
      <c r="O280" s="13"/>
      <c r="P280" s="12"/>
      <c r="Q280" s="12">
        <f>_xlfn.XLOOKUP(L280, [1]رواتب!B:B, [1]رواتب!S:S, "")</f>
        <v>5300</v>
      </c>
      <c r="R280" s="14">
        <f t="shared" ca="1" si="3"/>
        <v>80556</v>
      </c>
    </row>
    <row r="281" spans="11:18" x14ac:dyDescent="0.25">
      <c r="K281" s="5">
        <v>275</v>
      </c>
      <c r="L281" s="6">
        <v>3528</v>
      </c>
      <c r="M281" s="6" t="str">
        <f>IFERROR(VLOOKUP(L281, [2]رواتب!B:S, 6, FALSE), "مش موجود")</f>
        <v>السيد السيد ابراهيم حسن شلاطة</v>
      </c>
      <c r="N281" s="7" t="str">
        <f>IFERROR(VLOOKUP(L281, [2]رواتب!B:S, 5, FALSE), "مش موجود")</f>
        <v>خط الفنيش 2</v>
      </c>
      <c r="O281" s="8"/>
      <c r="P281" s="7"/>
      <c r="Q281" s="7">
        <f>_xlfn.XLOOKUP(L281, [1]رواتب!B:B, [1]رواتب!S:S, "")</f>
        <v>4000</v>
      </c>
      <c r="R281" s="9">
        <f t="shared" ca="1" si="3"/>
        <v>48755</v>
      </c>
    </row>
    <row r="282" spans="11:18" x14ac:dyDescent="0.25">
      <c r="K282" s="10">
        <v>276</v>
      </c>
      <c r="L282" s="11">
        <v>1023</v>
      </c>
      <c r="M282" s="11" t="str">
        <f>IFERROR(VLOOKUP(L282, [2]رواتب!B:S, 6, FALSE), "مش موجود")</f>
        <v>رشا احمد محمد محمود عبد الله</v>
      </c>
      <c r="N282" s="12" t="str">
        <f>IFERROR(VLOOKUP(L282, [2]رواتب!B:S, 5, FALSE), "مش موجود")</f>
        <v>الجودة</v>
      </c>
      <c r="O282" s="13"/>
      <c r="P282" s="12"/>
      <c r="Q282" s="12">
        <f>_xlfn.XLOOKUP(L282, [1]رواتب!B:B, [1]رواتب!S:S, "")</f>
        <v>8000</v>
      </c>
      <c r="R282" s="14">
        <f t="shared" ca="1" si="3"/>
        <v>39619</v>
      </c>
    </row>
    <row r="283" spans="11:18" x14ac:dyDescent="0.25">
      <c r="K283" s="5">
        <v>277</v>
      </c>
      <c r="L283" s="6">
        <v>3065</v>
      </c>
      <c r="M283" s="6" t="str">
        <f>IFERROR(VLOOKUP(L283, [2]رواتب!B:S, 6, FALSE), "مش موجود")</f>
        <v>ياسمين السيد السيد الجعيدي</v>
      </c>
      <c r="N283" s="7" t="str">
        <f>IFERROR(VLOOKUP(L283, [2]رواتب!B:S, 5, FALSE), "مش موجود")</f>
        <v>التشطيب</v>
      </c>
      <c r="O283" s="8"/>
      <c r="P283" s="7"/>
      <c r="Q283" s="7">
        <f>_xlfn.XLOOKUP(L283, [1]رواتب!B:B, [1]رواتب!S:S, "")</f>
        <v>4000</v>
      </c>
      <c r="R283" s="9">
        <f t="shared" ca="1" si="3"/>
        <v>47399</v>
      </c>
    </row>
    <row r="284" spans="11:18" x14ac:dyDescent="0.25">
      <c r="K284" s="10">
        <v>278</v>
      </c>
      <c r="L284" s="11">
        <v>3529</v>
      </c>
      <c r="M284" s="11" t="str">
        <f>IFERROR(VLOOKUP(L284, [2]رواتب!B:S, 6, FALSE), "مش موجود")</f>
        <v>يوسف ابراهيم محمد ابراهيم عبدالله</v>
      </c>
      <c r="N284" s="12" t="str">
        <f>IFERROR(VLOOKUP(L284, [2]رواتب!B:S, 5, FALSE), "مش موجود")</f>
        <v>القص</v>
      </c>
      <c r="O284" s="13"/>
      <c r="P284" s="12"/>
      <c r="Q284" s="12">
        <f>_xlfn.XLOOKUP(L284, [1]رواتب!B:B, [1]رواتب!S:S, "")</f>
        <v>6150</v>
      </c>
      <c r="R284" s="14">
        <f t="shared" ca="1" si="3"/>
        <v>33718</v>
      </c>
    </row>
    <row r="285" spans="11:18" x14ac:dyDescent="0.25">
      <c r="K285" s="5">
        <v>279</v>
      </c>
      <c r="L285" s="6">
        <v>3591</v>
      </c>
      <c r="M285" s="6" t="str">
        <f>IFERROR(VLOOKUP(L285, [2]رواتب!B:S, 6, FALSE), "مش موجود")</f>
        <v>رضا السيد السيد علي عبدالواحد</v>
      </c>
      <c r="N285" s="7" t="str">
        <f>IFERROR(VLOOKUP(L285, [2]رواتب!B:S, 5, FALSE), "مش موجود")</f>
        <v>مخازن</v>
      </c>
      <c r="O285" s="8"/>
      <c r="P285" s="7"/>
      <c r="Q285" s="7">
        <f>_xlfn.XLOOKUP(L285, [1]رواتب!B:B, [1]رواتب!S:S, "")</f>
        <v>6000</v>
      </c>
      <c r="R285" s="9">
        <f t="shared" ca="1" si="3"/>
        <v>94422</v>
      </c>
    </row>
    <row r="286" spans="11:18" x14ac:dyDescent="0.25">
      <c r="K286" s="10">
        <v>280</v>
      </c>
      <c r="L286" s="11">
        <v>3218</v>
      </c>
      <c r="M286" s="11" t="str">
        <f>IFERROR(VLOOKUP(L286, [2]رواتب!B:S, 6, FALSE), "مش موجود")</f>
        <v>عبد الرحمن عبدالواحد محمد جمعة</v>
      </c>
      <c r="N286" s="12" t="str">
        <f>IFERROR(VLOOKUP(L286, [2]رواتب!B:S, 5, FALSE), "مش موجود")</f>
        <v>عراوي</v>
      </c>
      <c r="O286" s="13"/>
      <c r="P286" s="12"/>
      <c r="Q286" s="12">
        <f>_xlfn.XLOOKUP(L286, [1]رواتب!B:B, [1]رواتب!S:S, "")</f>
        <v>3500</v>
      </c>
      <c r="R286" s="14">
        <f t="shared" ca="1" si="3"/>
        <v>17718</v>
      </c>
    </row>
    <row r="287" spans="11:18" x14ac:dyDescent="0.25">
      <c r="K287" s="5">
        <v>281</v>
      </c>
      <c r="L287" s="6">
        <v>3340</v>
      </c>
      <c r="M287" s="6" t="str">
        <f>IFERROR(VLOOKUP(L287, [2]رواتب!B:S, 6, FALSE), "مش موجود")</f>
        <v>محمد حسن ابراهيم شلاطة</v>
      </c>
      <c r="N287" s="7" t="str">
        <f>IFERROR(VLOOKUP(L287, [2]رواتب!B:S, 5, FALSE), "مش موجود")</f>
        <v>الصيانة</v>
      </c>
      <c r="O287" s="8"/>
      <c r="P287" s="7"/>
      <c r="Q287" s="7">
        <f>_xlfn.XLOOKUP(L287, [1]رواتب!B:B, [1]رواتب!S:S, "")</f>
        <v>15000</v>
      </c>
      <c r="R287" s="9">
        <f t="shared" ca="1" si="3"/>
        <v>18832</v>
      </c>
    </row>
    <row r="288" spans="11:18" x14ac:dyDescent="0.25">
      <c r="K288" s="10">
        <v>282</v>
      </c>
      <c r="L288" s="11">
        <v>2016</v>
      </c>
      <c r="M288" s="11" t="str">
        <f>IFERROR(VLOOKUP(L288, [2]رواتب!B:S, 6, FALSE), "مش موجود")</f>
        <v>محمد ايمن محمد سلام</v>
      </c>
      <c r="N288" s="12" t="str">
        <f>IFERROR(VLOOKUP(L288, [2]رواتب!B:S, 5, FALSE), "مش موجود")</f>
        <v>خط 4</v>
      </c>
      <c r="O288" s="13"/>
      <c r="P288" s="12"/>
      <c r="Q288" s="12">
        <f>_xlfn.XLOOKUP(L288, [1]رواتب!B:B, [1]رواتب!S:S, "")</f>
        <v>11000</v>
      </c>
      <c r="R288" s="14">
        <f t="shared" ca="1" si="3"/>
        <v>40636</v>
      </c>
    </row>
    <row r="289" spans="11:18" x14ac:dyDescent="0.25">
      <c r="K289" s="5">
        <v>283</v>
      </c>
      <c r="L289" s="6">
        <v>3531</v>
      </c>
      <c r="M289" s="6" t="str">
        <f>IFERROR(VLOOKUP(L289, [2]رواتب!B:S, 6, FALSE), "مش موجود")</f>
        <v>احمد صالح محمد ابراهيم احمد</v>
      </c>
      <c r="N289" s="7" t="str">
        <f>IFERROR(VLOOKUP(L289, [2]رواتب!B:S, 5, FALSE), "مش موجود")</f>
        <v>القص</v>
      </c>
      <c r="O289" s="8"/>
      <c r="P289" s="7"/>
      <c r="Q289" s="7">
        <f>_xlfn.XLOOKUP(L289, [1]رواتب!B:B, [1]رواتب!S:S, "")</f>
        <v>5650</v>
      </c>
      <c r="R289" s="9">
        <f t="shared" ca="1" si="3"/>
        <v>76219</v>
      </c>
    </row>
    <row r="290" spans="11:18" x14ac:dyDescent="0.25">
      <c r="K290" s="10">
        <v>284</v>
      </c>
      <c r="L290" s="11">
        <v>2379</v>
      </c>
      <c r="M290" s="11" t="str">
        <f>IFERROR(VLOOKUP(L290, [2]رواتب!B:S, 6, FALSE), "مش موجود")</f>
        <v>محمد محمود عباس شطا</v>
      </c>
      <c r="N290" s="12" t="str">
        <f>IFERROR(VLOOKUP(L290, [2]رواتب!B:S, 5, FALSE), "مش موجود")</f>
        <v>خط الصدر 1</v>
      </c>
      <c r="O290" s="13"/>
      <c r="P290" s="12"/>
      <c r="Q290" s="12">
        <f>_xlfn.XLOOKUP(L290, [1]رواتب!B:B, [1]رواتب!S:S, "")</f>
        <v>6000</v>
      </c>
      <c r="R290" s="14">
        <f t="shared" ca="1" si="3"/>
        <v>31268</v>
      </c>
    </row>
    <row r="291" spans="11:18" x14ac:dyDescent="0.25">
      <c r="K291" s="5">
        <v>285</v>
      </c>
      <c r="L291" s="6">
        <v>3438</v>
      </c>
      <c r="M291" s="6" t="str">
        <f>IFERROR(VLOOKUP(L291, [2]رواتب!B:S, 6, FALSE), "مش موجود")</f>
        <v>اسماء السيد سمير احمد يوسف</v>
      </c>
      <c r="N291" s="7" t="str">
        <f>IFERROR(VLOOKUP(L291, [2]رواتب!B:S, 5, FALSE), "مش موجود")</f>
        <v>نهائي</v>
      </c>
      <c r="O291" s="8"/>
      <c r="P291" s="7"/>
      <c r="Q291" s="7">
        <f>_xlfn.XLOOKUP(L291, [1]رواتب!B:B, [1]رواتب!S:S, "")</f>
        <v>4500</v>
      </c>
      <c r="R291" s="9">
        <f t="shared" ca="1" si="3"/>
        <v>53588</v>
      </c>
    </row>
    <row r="292" spans="11:18" x14ac:dyDescent="0.25">
      <c r="K292" s="10">
        <v>286</v>
      </c>
      <c r="L292" s="11">
        <v>3342</v>
      </c>
      <c r="M292" s="11" t="str">
        <f>IFERROR(VLOOKUP(L292, [2]رواتب!B:S, 6, FALSE), "مش موجود")</f>
        <v>امل الخضري الاباصيري السحراوي</v>
      </c>
      <c r="N292" s="12" t="str">
        <f>IFERROR(VLOOKUP(L292, [2]رواتب!B:S, 5, FALSE), "مش موجود")</f>
        <v>الجودة</v>
      </c>
      <c r="O292" s="13"/>
      <c r="P292" s="12"/>
      <c r="Q292" s="12">
        <f>_xlfn.XLOOKUP(L292, [1]رواتب!B:B, [1]رواتب!S:S, "")</f>
        <v>4500</v>
      </c>
      <c r="R292" s="14">
        <f t="shared" ca="1" si="3"/>
        <v>63693</v>
      </c>
    </row>
    <row r="293" spans="11:18" x14ac:dyDescent="0.25">
      <c r="K293" s="5">
        <v>287</v>
      </c>
      <c r="L293" s="6">
        <v>3533</v>
      </c>
      <c r="M293" s="6" t="str">
        <f>IFERROR(VLOOKUP(L293, [2]رواتب!B:S, 6, FALSE), "مش موجود")</f>
        <v>عمر محمد العربي السيد عبده</v>
      </c>
      <c r="N293" s="7" t="str">
        <f>IFERROR(VLOOKUP(L293, [2]رواتب!B:S, 5, FALSE), "مش موجود")</f>
        <v>القص</v>
      </c>
      <c r="O293" s="8"/>
      <c r="P293" s="7"/>
      <c r="Q293" s="7">
        <f>_xlfn.XLOOKUP(L293, [1]رواتب!B:B, [1]رواتب!S:S, "")</f>
        <v>5000</v>
      </c>
      <c r="R293" s="9">
        <f t="shared" ca="1" si="3"/>
        <v>62871</v>
      </c>
    </row>
    <row r="294" spans="11:18" x14ac:dyDescent="0.25">
      <c r="K294" s="10">
        <v>288</v>
      </c>
      <c r="L294" s="11">
        <v>2672</v>
      </c>
      <c r="M294" s="11" t="str">
        <f>IFERROR(VLOOKUP(L294, [2]رواتب!B:S, 6, FALSE), "مش موجود")</f>
        <v>منه محمد حلمي محمد الشاذلي</v>
      </c>
      <c r="N294" s="12" t="str">
        <f>IFERROR(VLOOKUP(L294, [2]رواتب!B:S, 5, FALSE), "مش موجود")</f>
        <v>خط الظهر 1</v>
      </c>
      <c r="O294" s="13"/>
      <c r="P294" s="12"/>
      <c r="Q294" s="12">
        <f>_xlfn.XLOOKUP(L294, [1]رواتب!B:B, [1]رواتب!S:S, "")</f>
        <v>3500</v>
      </c>
      <c r="R294" s="14">
        <f t="shared" ca="1" si="3"/>
        <v>71849</v>
      </c>
    </row>
    <row r="295" spans="11:18" x14ac:dyDescent="0.25">
      <c r="K295" s="5">
        <v>289</v>
      </c>
      <c r="L295" s="6">
        <v>3437</v>
      </c>
      <c r="M295" s="6" t="str">
        <f>IFERROR(VLOOKUP(L295, [2]رواتب!B:S, 6, FALSE), "مش موجود")</f>
        <v>بسملة نور محمد نجيب العزبي</v>
      </c>
      <c r="N295" s="7" t="str">
        <f>IFERROR(VLOOKUP(L295, [2]رواتب!B:S, 5, FALSE), "مش موجود")</f>
        <v>نهائي</v>
      </c>
      <c r="O295" s="8"/>
      <c r="P295" s="7"/>
      <c r="Q295" s="7">
        <f>_xlfn.XLOOKUP(L295, [1]رواتب!B:B, [1]رواتب!S:S, "")</f>
        <v>4000</v>
      </c>
      <c r="R295" s="9">
        <f t="shared" ca="1" si="3"/>
        <v>86590</v>
      </c>
    </row>
    <row r="296" spans="11:18" x14ac:dyDescent="0.25">
      <c r="K296" s="10">
        <v>290</v>
      </c>
      <c r="L296" s="11">
        <v>3534</v>
      </c>
      <c r="M296" s="11" t="str">
        <f>IFERROR(VLOOKUP(L296, [2]رواتب!B:S, 6, FALSE), "مش موجود")</f>
        <v>محمود طارق حسن محمد العزبي</v>
      </c>
      <c r="N296" s="12" t="str">
        <f>IFERROR(VLOOKUP(L296, [2]رواتب!B:S, 5, FALSE), "مش موجود")</f>
        <v>القص</v>
      </c>
      <c r="O296" s="13"/>
      <c r="P296" s="12"/>
      <c r="Q296" s="12">
        <f>_xlfn.XLOOKUP(L296, [1]رواتب!B:B, [1]رواتب!S:S, "")</f>
        <v>5000</v>
      </c>
      <c r="R296" s="14">
        <f t="shared" ca="1" si="3"/>
        <v>52483</v>
      </c>
    </row>
    <row r="297" spans="11:18" x14ac:dyDescent="0.25">
      <c r="K297" s="5">
        <v>291</v>
      </c>
      <c r="L297" s="6">
        <v>2749</v>
      </c>
      <c r="M297" s="6" t="str">
        <f>IFERROR(VLOOKUP(L297, [2]رواتب!B:S, 6, FALSE), "مش موجود")</f>
        <v>عمار عبده الرفاعي ابو المعاطي</v>
      </c>
      <c r="N297" s="7" t="str">
        <f>IFERROR(VLOOKUP(L297, [2]رواتب!B:S, 5, FALSE), "مش موجود")</f>
        <v>خط الظهر 3</v>
      </c>
      <c r="O297" s="8"/>
      <c r="P297" s="7"/>
      <c r="Q297" s="7">
        <f>_xlfn.XLOOKUP(L297, [1]رواتب!B:B, [1]رواتب!S:S, "")</f>
        <v>5500</v>
      </c>
      <c r="R297" s="9">
        <f t="shared" ca="1" si="3"/>
        <v>41914</v>
      </c>
    </row>
    <row r="298" spans="11:18" x14ac:dyDescent="0.25">
      <c r="K298" s="10">
        <v>292</v>
      </c>
      <c r="L298" s="11">
        <v>3519</v>
      </c>
      <c r="M298" s="11" t="str">
        <f>IFERROR(VLOOKUP(L298, [2]رواتب!B:S, 6, FALSE), "مش موجود")</f>
        <v>نورهان طارق عبد الباسط الريس</v>
      </c>
      <c r="N298" s="12" t="str">
        <f>IFERROR(VLOOKUP(L298, [2]رواتب!B:S, 5, FALSE), "مش موجود")</f>
        <v>الإدارة</v>
      </c>
      <c r="O298" s="13"/>
      <c r="P298" s="12"/>
      <c r="Q298" s="12">
        <f>_xlfn.XLOOKUP(L298, [1]رواتب!B:B, [1]رواتب!S:S, "")</f>
        <v>4000</v>
      </c>
      <c r="R298" s="14">
        <f t="shared" ca="1" si="3"/>
        <v>46306</v>
      </c>
    </row>
    <row r="299" spans="11:18" x14ac:dyDescent="0.25">
      <c r="K299" s="5">
        <v>293</v>
      </c>
      <c r="L299" s="6">
        <v>2128</v>
      </c>
      <c r="M299" s="6" t="str">
        <f>IFERROR(VLOOKUP(L299, [2]رواتب!B:S, 6, FALSE), "مش موجود")</f>
        <v>احمد حسام مصطفى السيد فرج</v>
      </c>
      <c r="N299" s="7" t="str">
        <f>IFERROR(VLOOKUP(L299, [2]رواتب!B:S, 5, FALSE), "مش موجود")</f>
        <v>خط الفنيش 3</v>
      </c>
      <c r="O299" s="8"/>
      <c r="P299" s="7"/>
      <c r="Q299" s="7">
        <f>_xlfn.XLOOKUP(L299, [1]رواتب!B:B, [1]رواتب!S:S, "")</f>
        <v>7500</v>
      </c>
      <c r="R299" s="9">
        <f t="shared" ca="1" si="3"/>
        <v>93034</v>
      </c>
    </row>
    <row r="300" spans="11:18" x14ac:dyDescent="0.25">
      <c r="K300" s="10">
        <v>294</v>
      </c>
      <c r="L300" s="11">
        <v>3145</v>
      </c>
      <c r="M300" s="11" t="str">
        <f>IFERROR(VLOOKUP(L300, [2]رواتب!B:S, 6, FALSE), "مش موجود")</f>
        <v>بدر السيد احمد السيد علي</v>
      </c>
      <c r="N300" s="12" t="str">
        <f>IFERROR(VLOOKUP(L300, [2]رواتب!B:S, 5, FALSE), "مش موجود")</f>
        <v>عراوي</v>
      </c>
      <c r="O300" s="13"/>
      <c r="P300" s="12"/>
      <c r="Q300" s="12">
        <f>_xlfn.XLOOKUP(L300, [1]رواتب!B:B, [1]رواتب!S:S, "")</f>
        <v>5500</v>
      </c>
      <c r="R300" s="14">
        <f t="shared" ca="1" si="3"/>
        <v>96915</v>
      </c>
    </row>
    <row r="301" spans="11:18" x14ac:dyDescent="0.25">
      <c r="K301" s="5">
        <v>295</v>
      </c>
      <c r="L301" s="6">
        <v>3537</v>
      </c>
      <c r="M301" s="6" t="str">
        <f>IFERROR(VLOOKUP(L301, [2]رواتب!B:S, 6, FALSE), "مش موجود")</f>
        <v xml:space="preserve"> عبدالرحمن علي السيد محمد مصطفى شطا</v>
      </c>
      <c r="N301" s="7" t="str">
        <f>IFERROR(VLOOKUP(L301, [2]رواتب!B:S, 5, FALSE), "مش موجود")</f>
        <v>نهائي</v>
      </c>
      <c r="O301" s="8"/>
      <c r="P301" s="7"/>
      <c r="Q301" s="7">
        <f>_xlfn.XLOOKUP(L301, [1]رواتب!B:B, [1]رواتب!S:S, "")</f>
        <v>5000</v>
      </c>
      <c r="R301" s="9">
        <f t="shared" ca="1" si="3"/>
        <v>44251</v>
      </c>
    </row>
    <row r="302" spans="11:18" x14ac:dyDescent="0.25">
      <c r="K302" s="10">
        <v>296</v>
      </c>
      <c r="L302" s="11">
        <v>3105</v>
      </c>
      <c r="M302" s="11" t="str">
        <f>IFERROR(VLOOKUP(L302, [2]رواتب!B:S, 6, FALSE), "مش موجود")</f>
        <v>مي خالد احمد احمد الشناوي</v>
      </c>
      <c r="N302" s="12" t="str">
        <f>IFERROR(VLOOKUP(L302, [2]رواتب!B:S, 5, FALSE), "مش موجود")</f>
        <v>الجودة</v>
      </c>
      <c r="O302" s="13"/>
      <c r="P302" s="12"/>
      <c r="Q302" s="12">
        <f>_xlfn.XLOOKUP(L302, [1]رواتب!B:B, [1]رواتب!S:S, "")</f>
        <v>4500</v>
      </c>
      <c r="R302" s="14">
        <f t="shared" ca="1" si="3"/>
        <v>16428</v>
      </c>
    </row>
    <row r="303" spans="11:18" x14ac:dyDescent="0.25">
      <c r="K303" s="5">
        <v>297</v>
      </c>
      <c r="L303" s="6">
        <v>3349</v>
      </c>
      <c r="M303" s="6" t="str">
        <f>IFERROR(VLOOKUP(L303, [2]رواتب!B:S, 6, FALSE), "مش موجود")</f>
        <v>سارة محسن السيد الزعلوك</v>
      </c>
      <c r="N303" s="7" t="str">
        <f>IFERROR(VLOOKUP(L303, [2]رواتب!B:S, 5, FALSE), "مش موجود")</f>
        <v>الامن</v>
      </c>
      <c r="O303" s="8"/>
      <c r="P303" s="7"/>
      <c r="Q303" s="7">
        <f>_xlfn.XLOOKUP(L303, [1]رواتب!B:B, [1]رواتب!S:S, "")</f>
        <v>4200</v>
      </c>
      <c r="R303" s="9">
        <f t="shared" ca="1" si="3"/>
        <v>19043</v>
      </c>
    </row>
    <row r="304" spans="11:18" x14ac:dyDescent="0.25">
      <c r="K304" s="10">
        <v>298</v>
      </c>
      <c r="L304" s="11">
        <v>2039</v>
      </c>
      <c r="M304" s="11" t="str">
        <f>IFERROR(VLOOKUP(L304, [2]رواتب!B:S, 6, FALSE), "مش موجود")</f>
        <v>فاطمة جمال السيد علي منسي</v>
      </c>
      <c r="N304" s="12" t="str">
        <f>IFERROR(VLOOKUP(L304, [2]رواتب!B:S, 5, FALSE), "مش موجود")</f>
        <v>خط الفنيش 2</v>
      </c>
      <c r="O304" s="13"/>
      <c r="P304" s="12"/>
      <c r="Q304" s="12">
        <f>_xlfn.XLOOKUP(L304, [1]رواتب!B:B, [1]رواتب!S:S, "")</f>
        <v>7200</v>
      </c>
      <c r="R304" s="14">
        <f t="shared" ca="1" si="3"/>
        <v>85956</v>
      </c>
    </row>
    <row r="305" spans="11:18" x14ac:dyDescent="0.25">
      <c r="K305" s="5">
        <v>299</v>
      </c>
      <c r="L305" s="6">
        <v>2226</v>
      </c>
      <c r="M305" s="6" t="str">
        <f>IFERROR(VLOOKUP(L305, [2]رواتب!B:S, 6, FALSE), "مش موجود")</f>
        <v>ايسه محمد الجميل سليمان</v>
      </c>
      <c r="N305" s="7" t="str">
        <f>IFERROR(VLOOKUP(L305, [2]رواتب!B:S, 5, FALSE), "مش موجود")</f>
        <v>الجودة</v>
      </c>
      <c r="O305" s="8"/>
      <c r="P305" s="7"/>
      <c r="Q305" s="7">
        <f>_xlfn.XLOOKUP(L305, [1]رواتب!B:B, [1]رواتب!S:S, "")</f>
        <v>5500</v>
      </c>
      <c r="R305" s="9">
        <f t="shared" ca="1" si="3"/>
        <v>75446</v>
      </c>
    </row>
    <row r="306" spans="11:18" x14ac:dyDescent="0.25">
      <c r="K306" s="10">
        <v>300</v>
      </c>
      <c r="L306" s="11">
        <v>2433</v>
      </c>
      <c r="M306" s="11" t="str">
        <f>IFERROR(VLOOKUP(L306, [2]رواتب!B:S, 6, FALSE), "مش موجود")</f>
        <v>شيرين إبراهيم على محمد السيد النبلاوى</v>
      </c>
      <c r="N306" s="12" t="str">
        <f>IFERROR(VLOOKUP(L306, [2]رواتب!B:S, 5, FALSE), "مش موجود")</f>
        <v>الجودة</v>
      </c>
      <c r="O306" s="13"/>
      <c r="P306" s="12"/>
      <c r="Q306" s="12">
        <f>_xlfn.XLOOKUP(L306, [1]رواتب!B:B, [1]رواتب!S:S, "")</f>
        <v>5500</v>
      </c>
      <c r="R306" s="14">
        <f t="shared" ca="1" si="3"/>
        <v>50256</v>
      </c>
    </row>
    <row r="307" spans="11:18" x14ac:dyDescent="0.25">
      <c r="K307" s="5">
        <v>301</v>
      </c>
      <c r="L307" s="6">
        <v>3162</v>
      </c>
      <c r="M307" s="6" t="str">
        <f>IFERROR(VLOOKUP(L307, [2]رواتب!B:S, 6, FALSE), "مش موجود")</f>
        <v>شهد مسعد محمد ريان</v>
      </c>
      <c r="N307" s="7" t="str">
        <f>IFERROR(VLOOKUP(L307, [2]رواتب!B:S, 5, FALSE), "مش موجود")</f>
        <v>عراوي</v>
      </c>
      <c r="O307" s="8"/>
      <c r="P307" s="7"/>
      <c r="Q307" s="7">
        <f>_xlfn.XLOOKUP(L307, [1]رواتب!B:B, [1]رواتب!S:S, "")</f>
        <v>5500</v>
      </c>
      <c r="R307" s="9">
        <f t="shared" ca="1" si="3"/>
        <v>13187</v>
      </c>
    </row>
    <row r="308" spans="11:18" x14ac:dyDescent="0.25">
      <c r="K308" s="10">
        <v>302</v>
      </c>
      <c r="L308" s="11">
        <v>3536</v>
      </c>
      <c r="M308" s="11" t="str">
        <f>IFERROR(VLOOKUP(L308, [2]رواتب!B:S, 6, FALSE), "مش موجود")</f>
        <v>محمد علي محمد متولي احمد الامير</v>
      </c>
      <c r="N308" s="12" t="str">
        <f>IFERROR(VLOOKUP(L308, [2]رواتب!B:S, 5, FALSE), "مش موجود")</f>
        <v>نهائي</v>
      </c>
      <c r="O308" s="13"/>
      <c r="P308" s="12"/>
      <c r="Q308" s="12">
        <f>_xlfn.XLOOKUP(L308, [1]رواتب!B:B, [1]رواتب!S:S, "")</f>
        <v>6150</v>
      </c>
      <c r="R308" s="14">
        <f t="shared" ca="1" si="3"/>
        <v>67596</v>
      </c>
    </row>
    <row r="309" spans="11:18" x14ac:dyDescent="0.25">
      <c r="K309" s="5">
        <v>303</v>
      </c>
      <c r="L309" s="6">
        <v>2249</v>
      </c>
      <c r="M309" s="6" t="str">
        <f>IFERROR(VLOOKUP(L309, [2]رواتب!B:S, 6, FALSE), "مش موجود")</f>
        <v>محمد حبيب رفعت ابراهيم</v>
      </c>
      <c r="N309" s="7" t="str">
        <f>IFERROR(VLOOKUP(L309, [2]رواتب!B:S, 5, FALSE), "مش موجود")</f>
        <v>خط الفنيش 2</v>
      </c>
      <c r="O309" s="8"/>
      <c r="P309" s="7"/>
      <c r="Q309" s="7">
        <f>_xlfn.XLOOKUP(L309, [1]رواتب!B:B, [1]رواتب!S:S, "")</f>
        <v>7500</v>
      </c>
      <c r="R309" s="9">
        <f t="shared" ca="1" si="3"/>
        <v>79079</v>
      </c>
    </row>
    <row r="310" spans="11:18" x14ac:dyDescent="0.25">
      <c r="K310" s="10">
        <v>304</v>
      </c>
      <c r="L310" s="11">
        <v>3403</v>
      </c>
      <c r="M310" s="11" t="str">
        <f>IFERROR(VLOOKUP(L310, [2]رواتب!B:S, 6, FALSE), "مش موجود")</f>
        <v>اسامة السيد محمد السيد</v>
      </c>
      <c r="N310" s="12" t="str">
        <f>IFERROR(VLOOKUP(L310, [2]رواتب!B:S, 5, FALSE), "مش موجود")</f>
        <v>الإدارة الفنية</v>
      </c>
      <c r="O310" s="13"/>
      <c r="P310" s="12"/>
      <c r="Q310" s="12">
        <f>_xlfn.XLOOKUP(L310, [1]رواتب!B:B, [1]رواتب!S:S, "")</f>
        <v>6500</v>
      </c>
      <c r="R310" s="14">
        <f t="shared" ca="1" si="3"/>
        <v>71693</v>
      </c>
    </row>
    <row r="311" spans="11:18" x14ac:dyDescent="0.25">
      <c r="K311" s="5">
        <v>305</v>
      </c>
      <c r="L311" s="6">
        <v>3346</v>
      </c>
      <c r="M311" s="6" t="str">
        <f>IFERROR(VLOOKUP(L311, [2]رواتب!B:S, 6, FALSE), "مش موجود")</f>
        <v>محمد مسعد مسعد السيد شطا</v>
      </c>
      <c r="N311" s="7" t="str">
        <f>IFERROR(VLOOKUP(L311, [2]رواتب!B:S, 5, FALSE), "مش موجود")</f>
        <v>خط الفنيش 1</v>
      </c>
      <c r="O311" s="8"/>
      <c r="P311" s="7"/>
      <c r="Q311" s="7">
        <f>_xlfn.XLOOKUP(L311, [1]رواتب!B:B, [1]رواتب!S:S, "")</f>
        <v>6000</v>
      </c>
      <c r="R311" s="9">
        <f t="shared" ca="1" si="3"/>
        <v>98926</v>
      </c>
    </row>
    <row r="312" spans="11:18" x14ac:dyDescent="0.25">
      <c r="K312" s="10">
        <v>306</v>
      </c>
      <c r="L312" s="11">
        <v>3404</v>
      </c>
      <c r="M312" s="11" t="str">
        <f>IFERROR(VLOOKUP(L312, [2]رواتب!B:S, 6, FALSE), "مش موجود")</f>
        <v>مريم محمد السيد عبدالرحيم العاصي</v>
      </c>
      <c r="N312" s="12" t="str">
        <f>IFERROR(VLOOKUP(L312, [2]رواتب!B:S, 5, FALSE), "مش موجود")</f>
        <v>التجهيز</v>
      </c>
      <c r="O312" s="13"/>
      <c r="P312" s="12"/>
      <c r="Q312" s="12">
        <f>_xlfn.XLOOKUP(L312, [1]رواتب!B:B, [1]رواتب!S:S, "")</f>
        <v>4000</v>
      </c>
      <c r="R312" s="14">
        <f t="shared" ca="1" si="3"/>
        <v>49196</v>
      </c>
    </row>
    <row r="313" spans="11:18" x14ac:dyDescent="0.25">
      <c r="K313" s="5">
        <v>307</v>
      </c>
      <c r="L313" s="6">
        <v>3405</v>
      </c>
      <c r="M313" s="6" t="str">
        <f>IFERROR(VLOOKUP(L313, [2]رواتب!B:S, 6, FALSE), "مش موجود")</f>
        <v>ندا عاطف احمد محمد سلام</v>
      </c>
      <c r="N313" s="7" t="str">
        <f>IFERROR(VLOOKUP(L313, [2]رواتب!B:S, 5, FALSE), "مش موجود")</f>
        <v>القص</v>
      </c>
      <c r="O313" s="8"/>
      <c r="P313" s="7"/>
      <c r="Q313" s="7">
        <f>_xlfn.XLOOKUP(L313, [1]رواتب!B:B, [1]رواتب!S:S, "")</f>
        <v>5000</v>
      </c>
      <c r="R313" s="9">
        <f t="shared" ca="1" si="3"/>
        <v>67399</v>
      </c>
    </row>
    <row r="314" spans="11:18" x14ac:dyDescent="0.25">
      <c r="K314" s="10">
        <v>308</v>
      </c>
      <c r="L314" s="11">
        <v>3147</v>
      </c>
      <c r="M314" s="11" t="str">
        <f>IFERROR(VLOOKUP(L314, [2]رواتب!B:S, 6, FALSE), "مش موجود")</f>
        <v>محمد راضي محمد مقبل خليل</v>
      </c>
      <c r="N314" s="12" t="str">
        <f>IFERROR(VLOOKUP(L314, [2]رواتب!B:S, 5, FALSE), "مش موجود")</f>
        <v>نهائي</v>
      </c>
      <c r="O314" s="13"/>
      <c r="P314" s="12"/>
      <c r="Q314" s="12">
        <f>_xlfn.XLOOKUP(L314, [1]رواتب!B:B, [1]رواتب!S:S, "")</f>
        <v>6000</v>
      </c>
      <c r="R314" s="14">
        <f t="shared" ca="1" si="3"/>
        <v>89365</v>
      </c>
    </row>
    <row r="315" spans="11:18" x14ac:dyDescent="0.25">
      <c r="K315" s="5">
        <v>309</v>
      </c>
      <c r="L315" s="6">
        <v>3541</v>
      </c>
      <c r="M315" s="6" t="str">
        <f>IFERROR(VLOOKUP(L315, [2]رواتب!B:S, 6, FALSE), "مش موجود")</f>
        <v>عمر اشرف محمد السيد حسانين</v>
      </c>
      <c r="N315" s="7" t="str">
        <f>IFERROR(VLOOKUP(L315, [2]رواتب!B:S, 5, FALSE), "مش موجود")</f>
        <v>خط الظهر 3</v>
      </c>
      <c r="O315" s="8"/>
      <c r="P315" s="7"/>
      <c r="Q315" s="7">
        <f>_xlfn.XLOOKUP(L315, [1]رواتب!B:B, [1]رواتب!S:S, "")</f>
        <v>4500</v>
      </c>
      <c r="R315" s="9">
        <f t="shared" ca="1" si="3"/>
        <v>48939</v>
      </c>
    </row>
    <row r="316" spans="11:18" x14ac:dyDescent="0.25">
      <c r="K316" s="10">
        <v>310</v>
      </c>
      <c r="L316" s="11">
        <v>3592</v>
      </c>
      <c r="M316" s="11" t="str">
        <f>IFERROR(VLOOKUP(L316, [2]رواتب!B:S, 6, FALSE), "مش موجود")</f>
        <v>محمود السيد السيد محمد صالح</v>
      </c>
      <c r="N316" s="12" t="str">
        <f>IFERROR(VLOOKUP(L316, [2]رواتب!B:S, 5, FALSE), "مش موجود")</f>
        <v>خط 4</v>
      </c>
      <c r="O316" s="13"/>
      <c r="P316" s="12"/>
      <c r="Q316" s="12">
        <f>_xlfn.XLOOKUP(L316, [1]رواتب!B:B, [1]رواتب!S:S, "")</f>
        <v>4500</v>
      </c>
      <c r="R316" s="14">
        <f t="shared" ca="1" si="3"/>
        <v>86745</v>
      </c>
    </row>
    <row r="317" spans="11:18" x14ac:dyDescent="0.25">
      <c r="K317" s="5">
        <v>311</v>
      </c>
      <c r="L317" s="6">
        <v>3243</v>
      </c>
      <c r="M317" s="6" t="str">
        <f>IFERROR(VLOOKUP(L317, [2]رواتب!B:S, 6, FALSE), "مش موجود")</f>
        <v>احمد محمد العيسوي احمد</v>
      </c>
      <c r="N317" s="7" t="str">
        <f>IFERROR(VLOOKUP(L317, [2]رواتب!B:S, 5, FALSE), "مش موجود")</f>
        <v>خط الفنيش 1</v>
      </c>
      <c r="O317" s="8"/>
      <c r="P317" s="7"/>
      <c r="Q317" s="7">
        <f>_xlfn.XLOOKUP(L317, [1]رواتب!B:B, [1]رواتب!S:S, "")</f>
        <v>3500</v>
      </c>
      <c r="R317" s="9">
        <f t="shared" ca="1" si="3"/>
        <v>97345</v>
      </c>
    </row>
    <row r="318" spans="11:18" x14ac:dyDescent="0.25">
      <c r="K318" s="10">
        <v>312</v>
      </c>
      <c r="L318" s="11">
        <v>3542</v>
      </c>
      <c r="M318" s="11" t="str">
        <f>IFERROR(VLOOKUP(L318, [2]رواتب!B:S, 6, FALSE), "مش موجود")</f>
        <v>محمد احمد عبدالوهاب طنطاوي</v>
      </c>
      <c r="N318" s="12" t="str">
        <f>IFERROR(VLOOKUP(L318, [2]رواتب!B:S, 5, FALSE), "مش موجود")</f>
        <v>الصيانة</v>
      </c>
      <c r="O318" s="13"/>
      <c r="P318" s="12"/>
      <c r="Q318" s="12">
        <f>_xlfn.XLOOKUP(L318, [1]رواتب!B:B, [1]رواتب!S:S, "")</f>
        <v>15000</v>
      </c>
      <c r="R318" s="14">
        <f t="shared" ca="1" si="3"/>
        <v>47794</v>
      </c>
    </row>
    <row r="319" spans="11:18" x14ac:dyDescent="0.25">
      <c r="K319" s="5">
        <v>313</v>
      </c>
      <c r="L319" s="6">
        <v>3540</v>
      </c>
      <c r="M319" s="6" t="str">
        <f>IFERROR(VLOOKUP(L319, [2]رواتب!B:S, 6, FALSE), "مش موجود")</f>
        <v>اماني عبده محمد عبدالغني خليل</v>
      </c>
      <c r="N319" s="7" t="str">
        <f>IFERROR(VLOOKUP(L319, [2]رواتب!B:S, 5, FALSE), "مش موجود")</f>
        <v>خط الفنيش 1</v>
      </c>
      <c r="O319" s="8"/>
      <c r="P319" s="7"/>
      <c r="Q319" s="7">
        <f>_xlfn.XLOOKUP(L319, [1]رواتب!B:B, [1]رواتب!S:S, "")</f>
        <v>3500</v>
      </c>
      <c r="R319" s="9">
        <f t="shared" ca="1" si="3"/>
        <v>32811</v>
      </c>
    </row>
    <row r="320" spans="11:18" x14ac:dyDescent="0.25">
      <c r="K320" s="10">
        <v>314</v>
      </c>
      <c r="L320" s="11">
        <v>3406</v>
      </c>
      <c r="M320" s="11" t="str">
        <f>IFERROR(VLOOKUP(L320, [2]رواتب!B:S, 6, FALSE), "مش موجود")</f>
        <v>محمود محمود السيد ابراهيم</v>
      </c>
      <c r="N320" s="12" t="str">
        <f>IFERROR(VLOOKUP(L320, [2]رواتب!B:S, 5, FALSE), "مش موجود")</f>
        <v>عراوي</v>
      </c>
      <c r="O320" s="13"/>
      <c r="P320" s="12"/>
      <c r="Q320" s="12">
        <f>_xlfn.XLOOKUP(L320, [1]رواتب!B:B, [1]رواتب!S:S, "")</f>
        <v>5500</v>
      </c>
      <c r="R320" s="14">
        <f t="shared" ca="1" si="3"/>
        <v>25296</v>
      </c>
    </row>
    <row r="321" spans="11:18" x14ac:dyDescent="0.25">
      <c r="K321" s="5">
        <v>315</v>
      </c>
      <c r="L321" s="6">
        <v>2752</v>
      </c>
      <c r="M321" s="6" t="str">
        <f>IFERROR(VLOOKUP(L321, [2]رواتب!B:S, 6, FALSE), "مش موجود")</f>
        <v>اسماء محمد عبده محمد يوسف</v>
      </c>
      <c r="N321" s="7" t="str">
        <f>IFERROR(VLOOKUP(L321, [2]رواتب!B:S, 5, FALSE), "مش موجود")</f>
        <v>خدمات</v>
      </c>
      <c r="O321" s="8"/>
      <c r="P321" s="7"/>
      <c r="Q321" s="7">
        <f>_xlfn.XLOOKUP(L321, [1]رواتب!B:B, [1]رواتب!S:S, "")</f>
        <v>4400</v>
      </c>
      <c r="R321" s="9">
        <f t="shared" ca="1" si="3"/>
        <v>46673</v>
      </c>
    </row>
    <row r="322" spans="11:18" x14ac:dyDescent="0.25">
      <c r="K322" s="10">
        <v>316</v>
      </c>
      <c r="L322" s="11">
        <v>3543</v>
      </c>
      <c r="M322" s="11" t="str">
        <f>IFERROR(VLOOKUP(L322, [2]رواتب!B:S, 6, FALSE), "مش موجود")</f>
        <v>نادر الغالي محمد منصور</v>
      </c>
      <c r="N322" s="12" t="str">
        <f>IFERROR(VLOOKUP(L322, [2]رواتب!B:S, 5, FALSE), "مش موجود")</f>
        <v>نهائي</v>
      </c>
      <c r="O322" s="13"/>
      <c r="P322" s="12"/>
      <c r="Q322" s="12">
        <f>_xlfn.XLOOKUP(L322, [1]رواتب!B:B, [1]رواتب!S:S, "")</f>
        <v>7000</v>
      </c>
      <c r="R322" s="14">
        <f t="shared" ca="1" si="3"/>
        <v>85653</v>
      </c>
    </row>
    <row r="323" spans="11:18" x14ac:dyDescent="0.25">
      <c r="K323" s="5">
        <v>317</v>
      </c>
      <c r="L323" s="6">
        <v>3544</v>
      </c>
      <c r="M323" s="6" t="str">
        <f>IFERROR(VLOOKUP(L323, [2]رواتب!B:S, 6, FALSE), "مش موجود")</f>
        <v>هانم ابراهيم فرج محمد فرج</v>
      </c>
      <c r="N323" s="7" t="str">
        <f>IFERROR(VLOOKUP(L323, [2]رواتب!B:S, 5, FALSE), "مش موجود")</f>
        <v>خط الظهر 3</v>
      </c>
      <c r="O323" s="8"/>
      <c r="P323" s="7"/>
      <c r="Q323" s="7">
        <f>_xlfn.XLOOKUP(L323, [1]رواتب!B:B, [1]رواتب!S:S, "")</f>
        <v>4500</v>
      </c>
      <c r="R323" s="9">
        <f t="shared" ca="1" si="3"/>
        <v>14676</v>
      </c>
    </row>
    <row r="324" spans="11:18" x14ac:dyDescent="0.25">
      <c r="K324" s="10">
        <v>318</v>
      </c>
      <c r="L324" s="11">
        <v>2770</v>
      </c>
      <c r="M324" s="11" t="str">
        <f>IFERROR(VLOOKUP(L324, [2]رواتب!B:S, 6, FALSE), "مش موجود")</f>
        <v>دعاء لبيب سليمان علي</v>
      </c>
      <c r="N324" s="12" t="str">
        <f>IFERROR(VLOOKUP(L324, [2]رواتب!B:S, 5, FALSE), "مش موجود")</f>
        <v>خط الفنيش 1</v>
      </c>
      <c r="O324" s="13"/>
      <c r="P324" s="12"/>
      <c r="Q324" s="12">
        <f>_xlfn.XLOOKUP(L324, [1]رواتب!B:B, [1]رواتب!S:S, "")</f>
        <v>3500</v>
      </c>
      <c r="R324" s="14">
        <f t="shared" ca="1" si="3"/>
        <v>19118</v>
      </c>
    </row>
    <row r="325" spans="11:18" x14ac:dyDescent="0.25">
      <c r="K325" s="5">
        <v>319</v>
      </c>
      <c r="L325" s="6">
        <v>3157</v>
      </c>
      <c r="M325" s="6" t="str">
        <f>IFERROR(VLOOKUP(L325, [2]رواتب!B:S, 6, FALSE), "مش موجود")</f>
        <v>امنية علي عبدالدايم حسن هندام</v>
      </c>
      <c r="N325" s="7" t="str">
        <f>IFERROR(VLOOKUP(L325, [2]رواتب!B:S, 5, FALSE), "مش موجود")</f>
        <v>الإدارة الفنية</v>
      </c>
      <c r="O325" s="8"/>
      <c r="P325" s="7"/>
      <c r="Q325" s="7">
        <f>_xlfn.XLOOKUP(L325, [1]رواتب!B:B, [1]رواتب!S:S, "")</f>
        <v>5500</v>
      </c>
      <c r="R325" s="9">
        <f t="shared" ca="1" si="3"/>
        <v>56287</v>
      </c>
    </row>
    <row r="326" spans="11:18" x14ac:dyDescent="0.25">
      <c r="K326" s="10">
        <v>320</v>
      </c>
      <c r="L326" s="11">
        <v>3440</v>
      </c>
      <c r="M326" s="11" t="str">
        <f>IFERROR(VLOOKUP(L326, [2]رواتب!B:S, 6, FALSE), "مش موجود")</f>
        <v>محمد احمد فؤاد السيد عوف</v>
      </c>
      <c r="N326" s="12" t="str">
        <f>IFERROR(VLOOKUP(L326, [2]رواتب!B:S, 5, FALSE), "مش موجود")</f>
        <v>نهائي</v>
      </c>
      <c r="O326" s="13"/>
      <c r="P326" s="12"/>
      <c r="Q326" s="12">
        <f>_xlfn.XLOOKUP(L326, [1]رواتب!B:B, [1]رواتب!S:S, "")</f>
        <v>6000</v>
      </c>
      <c r="R326" s="14">
        <f t="shared" ca="1" si="3"/>
        <v>39510</v>
      </c>
    </row>
    <row r="327" spans="11:18" x14ac:dyDescent="0.25">
      <c r="K327" s="5">
        <v>321</v>
      </c>
      <c r="L327" s="6">
        <v>2688</v>
      </c>
      <c r="M327" s="6" t="str">
        <f>IFERROR(VLOOKUP(L327, [2]رواتب!B:S, 6, FALSE), "مش موجود")</f>
        <v>هانم فوزي احمد عاشور</v>
      </c>
      <c r="N327" s="7" t="str">
        <f>IFERROR(VLOOKUP(L327, [2]رواتب!B:S, 5, FALSE), "مش موجود")</f>
        <v>خدمات</v>
      </c>
      <c r="O327" s="8"/>
      <c r="P327" s="7"/>
      <c r="Q327" s="7">
        <f>_xlfn.XLOOKUP(L327, [1]رواتب!B:B, [1]رواتب!S:S, "")</f>
        <v>4400</v>
      </c>
      <c r="R327" s="9">
        <f t="shared" ca="1" si="3"/>
        <v>96808</v>
      </c>
    </row>
    <row r="328" spans="11:18" x14ac:dyDescent="0.25">
      <c r="K328" s="10">
        <v>322</v>
      </c>
      <c r="L328" s="11">
        <v>3156</v>
      </c>
      <c r="M328" s="11" t="str">
        <f>IFERROR(VLOOKUP(L328, [2]رواتب!B:S, 6, FALSE), "مش موجود")</f>
        <v>انس محمد فرج محمد فرج</v>
      </c>
      <c r="N328" s="12" t="str">
        <f>IFERROR(VLOOKUP(L328, [2]رواتب!B:S, 5, FALSE), "مش موجود")</f>
        <v>خط الصدر 3</v>
      </c>
      <c r="O328" s="13"/>
      <c r="P328" s="12"/>
      <c r="Q328" s="12">
        <f>_xlfn.XLOOKUP(L328, [1]رواتب!B:B, [1]رواتب!S:S, "")</f>
        <v>5500</v>
      </c>
      <c r="R328" s="14">
        <f t="shared" ca="1" si="3"/>
        <v>57835</v>
      </c>
    </row>
    <row r="329" spans="11:18" x14ac:dyDescent="0.25">
      <c r="K329" s="5">
        <v>323</v>
      </c>
      <c r="L329" s="6">
        <v>2764</v>
      </c>
      <c r="M329" s="6" t="str">
        <f>IFERROR(VLOOKUP(L329, [2]رواتب!B:S, 6, FALSE), "مش موجود")</f>
        <v>ابراهيم احمد علي ابو زيد</v>
      </c>
      <c r="N329" s="7" t="str">
        <f>IFERROR(VLOOKUP(L329, [2]رواتب!B:S, 5, FALSE), "مش موجود")</f>
        <v>نهائي</v>
      </c>
      <c r="O329" s="8"/>
      <c r="P329" s="7"/>
      <c r="Q329" s="7">
        <f>_xlfn.XLOOKUP(L329, [1]رواتب!B:B, [1]رواتب!S:S, "")</f>
        <v>4500</v>
      </c>
      <c r="R329" s="9">
        <f t="shared" ca="1" si="3"/>
        <v>93053</v>
      </c>
    </row>
    <row r="330" spans="11:18" x14ac:dyDescent="0.25">
      <c r="K330" s="10">
        <v>324</v>
      </c>
      <c r="L330" s="11">
        <v>3169</v>
      </c>
      <c r="M330" s="11" t="str">
        <f>IFERROR(VLOOKUP(L330, [2]رواتب!B:S, 6, FALSE), "مش موجود")</f>
        <v>سماح محمد احمد رمادة</v>
      </c>
      <c r="N330" s="12" t="str">
        <f>IFERROR(VLOOKUP(L330, [2]رواتب!B:S, 5, FALSE), "مش موجود")</f>
        <v>التشطيب</v>
      </c>
      <c r="O330" s="13"/>
      <c r="P330" s="12"/>
      <c r="Q330" s="12">
        <f>_xlfn.XLOOKUP(L330, [1]رواتب!B:B, [1]رواتب!S:S, "")</f>
        <v>4300</v>
      </c>
      <c r="R330" s="14">
        <f t="shared" ca="1" si="3"/>
        <v>57107</v>
      </c>
    </row>
    <row r="331" spans="11:18" x14ac:dyDescent="0.25">
      <c r="K331" s="5">
        <v>325</v>
      </c>
      <c r="L331" s="6">
        <v>3168</v>
      </c>
      <c r="M331" s="6" t="str">
        <f>IFERROR(VLOOKUP(L331, [2]رواتب!B:S, 6, FALSE), "مش موجود")</f>
        <v>عبدالله محسن علي شطا مصطفى</v>
      </c>
      <c r="N331" s="7" t="str">
        <f>IFERROR(VLOOKUP(L331, [2]رواتب!B:S, 5, FALSE), "مش موجود")</f>
        <v>الإدارة</v>
      </c>
      <c r="O331" s="8"/>
      <c r="P331" s="7"/>
      <c r="Q331" s="7">
        <f>_xlfn.XLOOKUP(L331, [1]رواتب!B:B, [1]رواتب!S:S, "")</f>
        <v>7000</v>
      </c>
      <c r="R331" s="9">
        <f t="shared" ca="1" si="3"/>
        <v>91654</v>
      </c>
    </row>
    <row r="332" spans="11:18" x14ac:dyDescent="0.25">
      <c r="K332" s="10">
        <v>326</v>
      </c>
      <c r="L332" s="11">
        <v>3593</v>
      </c>
      <c r="M332" s="11" t="str">
        <f>IFERROR(VLOOKUP(L332, [2]رواتب!B:S, 6, FALSE), "مش موجود")</f>
        <v>فاطمة زغلول عبده عزام</v>
      </c>
      <c r="N332" s="12" t="str">
        <f>IFERROR(VLOOKUP(L332, [2]رواتب!B:S, 5, FALSE), "مش موجود")</f>
        <v>نهائي</v>
      </c>
      <c r="O332" s="13"/>
      <c r="P332" s="12"/>
      <c r="Q332" s="12">
        <f>_xlfn.XLOOKUP(L332, [1]رواتب!B:B, [1]رواتب!S:S, "")</f>
        <v>4500</v>
      </c>
      <c r="R332" s="14">
        <f t="shared" ca="1" si="3"/>
        <v>18420</v>
      </c>
    </row>
    <row r="333" spans="11:18" x14ac:dyDescent="0.25">
      <c r="K333" s="5">
        <v>327</v>
      </c>
      <c r="L333" s="6">
        <v>3547</v>
      </c>
      <c r="M333" s="6" t="str">
        <f>IFERROR(VLOOKUP(L333, [2]رواتب!B:S, 6, FALSE), "مش موجود")</f>
        <v>ام هاشم محمد علي محمود العاصي</v>
      </c>
      <c r="N333" s="7" t="str">
        <f>IFERROR(VLOOKUP(L333, [2]رواتب!B:S, 5, FALSE), "مش موجود")</f>
        <v>نهائي</v>
      </c>
      <c r="O333" s="8"/>
      <c r="P333" s="7"/>
      <c r="Q333" s="7">
        <f>_xlfn.XLOOKUP(L333, [1]رواتب!B:B, [1]رواتب!S:S, "")</f>
        <v>5500</v>
      </c>
      <c r="R333" s="9">
        <f t="shared" ca="1" si="3"/>
        <v>90434</v>
      </c>
    </row>
    <row r="334" spans="11:18" x14ac:dyDescent="0.25">
      <c r="K334" s="10">
        <v>328</v>
      </c>
      <c r="L334" s="11">
        <v>1039</v>
      </c>
      <c r="M334" s="11" t="str">
        <f>IFERROR(VLOOKUP(L334, [2]رواتب!B:S, 6, FALSE), "مش موجود")</f>
        <v>ابراهيم محمد ابراهيم محمد حلمى</v>
      </c>
      <c r="N334" s="12" t="str">
        <f>IFERROR(VLOOKUP(L334, [2]رواتب!B:S, 5, FALSE), "مش موجود")</f>
        <v>نهائي</v>
      </c>
      <c r="O334" s="13"/>
      <c r="P334" s="12"/>
      <c r="Q334" s="12">
        <f>_xlfn.XLOOKUP(L334, [1]رواتب!B:B, [1]رواتب!S:S, "")</f>
        <v>7500</v>
      </c>
      <c r="R334" s="14">
        <f t="shared" ca="1" si="3"/>
        <v>72867</v>
      </c>
    </row>
    <row r="335" spans="11:18" x14ac:dyDescent="0.25">
      <c r="K335" s="5">
        <v>329</v>
      </c>
      <c r="L335" s="6">
        <v>3077</v>
      </c>
      <c r="M335" s="6" t="str">
        <f>IFERROR(VLOOKUP(L335, [2]رواتب!B:S, 6, FALSE), "مش موجود")</f>
        <v>التميمي محمد مصطفى جبر</v>
      </c>
      <c r="N335" s="7" t="str">
        <f>IFERROR(VLOOKUP(L335, [2]رواتب!B:S, 5, FALSE), "مش موجود")</f>
        <v>القص</v>
      </c>
      <c r="O335" s="8"/>
      <c r="P335" s="7"/>
      <c r="Q335" s="7">
        <f>_xlfn.XLOOKUP(L335, [1]رواتب!B:B, [1]رواتب!S:S, "")</f>
        <v>5650</v>
      </c>
      <c r="R335" s="9">
        <f t="shared" ca="1" si="3"/>
        <v>73432</v>
      </c>
    </row>
    <row r="336" spans="11:18" x14ac:dyDescent="0.25">
      <c r="K336" s="10">
        <v>330</v>
      </c>
      <c r="L336" s="11">
        <v>3408</v>
      </c>
      <c r="M336" s="11" t="str">
        <f>IFERROR(VLOOKUP(L336, [2]رواتب!B:S, 6, FALSE), "مش موجود")</f>
        <v>السيد ايمن السيد العجمي الخولي</v>
      </c>
      <c r="N336" s="12" t="str">
        <f>IFERROR(VLOOKUP(L336, [2]رواتب!B:S, 5, FALSE), "مش موجود")</f>
        <v>خط الفنيش 3</v>
      </c>
      <c r="O336" s="13"/>
      <c r="P336" s="12"/>
      <c r="Q336" s="12">
        <f>_xlfn.XLOOKUP(L336, [1]رواتب!B:B, [1]رواتب!S:S, "")</f>
        <v>7700</v>
      </c>
      <c r="R336" s="14">
        <f t="shared" ca="1" si="3"/>
        <v>74474</v>
      </c>
    </row>
    <row r="337" spans="11:18" x14ac:dyDescent="0.25">
      <c r="K337" s="5">
        <v>331</v>
      </c>
      <c r="L337" s="6">
        <v>3594</v>
      </c>
      <c r="M337" s="6" t="str">
        <f>IFERROR(VLOOKUP(L337, [2]رواتب!B:S, 6, FALSE), "مش موجود")</f>
        <v>عزة احمد نعمة الله احمد اصلان</v>
      </c>
      <c r="N337" s="7" t="str">
        <f>IFERROR(VLOOKUP(L337, [2]رواتب!B:S, 5, FALSE), "مش موجود")</f>
        <v>نهائي</v>
      </c>
      <c r="O337" s="8"/>
      <c r="P337" s="7"/>
      <c r="Q337" s="7">
        <f>_xlfn.XLOOKUP(L337, [1]رواتب!B:B, [1]رواتب!S:S, "")</f>
        <v>4500</v>
      </c>
      <c r="R337" s="9">
        <f t="shared" ca="1" si="3"/>
        <v>38310</v>
      </c>
    </row>
    <row r="338" spans="11:18" x14ac:dyDescent="0.25">
      <c r="K338" s="10">
        <v>332</v>
      </c>
      <c r="L338" s="11">
        <v>2765</v>
      </c>
      <c r="M338" s="11" t="str">
        <f>IFERROR(VLOOKUP(L338, [2]رواتب!B:S, 6, FALSE), "مش موجود")</f>
        <v>اسلام حماد احمد غزي</v>
      </c>
      <c r="N338" s="12" t="str">
        <f>IFERROR(VLOOKUP(L338, [2]رواتب!B:S, 5, FALSE), "مش موجود")</f>
        <v>الإدارة</v>
      </c>
      <c r="O338" s="13"/>
      <c r="P338" s="12"/>
      <c r="Q338" s="12">
        <f>_xlfn.XLOOKUP(L338, [1]رواتب!B:B, [1]رواتب!S:S, "")</f>
        <v>8500</v>
      </c>
      <c r="R338" s="14">
        <f t="shared" ca="1" si="3"/>
        <v>42064</v>
      </c>
    </row>
    <row r="339" spans="11:18" x14ac:dyDescent="0.25">
      <c r="K339" s="5">
        <v>333</v>
      </c>
      <c r="L339" s="6">
        <v>3568</v>
      </c>
      <c r="M339" s="6" t="str">
        <f>IFERROR(VLOOKUP(L339, [2]رواتب!B:S, 6, FALSE), "مش موجود")</f>
        <v>علي محمد علي السيد منسي</v>
      </c>
      <c r="N339" s="7" t="str">
        <f>IFERROR(VLOOKUP(L339, [2]رواتب!B:S, 5, FALSE), "مش موجود")</f>
        <v>خدمات</v>
      </c>
      <c r="O339" s="8"/>
      <c r="P339" s="7"/>
      <c r="Q339" s="7">
        <f>_xlfn.XLOOKUP(L339, [1]رواتب!B:B, [1]رواتب!S:S, "")</f>
        <v>4000</v>
      </c>
      <c r="R339" s="9">
        <f t="shared" ca="1" si="3"/>
        <v>22580</v>
      </c>
    </row>
    <row r="340" spans="11:18" x14ac:dyDescent="0.25">
      <c r="K340" s="10">
        <v>334</v>
      </c>
      <c r="L340" s="11">
        <v>2771</v>
      </c>
      <c r="M340" s="11" t="str">
        <f>IFERROR(VLOOKUP(L340, [2]رواتب!B:S, 6, FALSE), "مش موجود")</f>
        <v>منة محمود كمال مصطفى غبن</v>
      </c>
      <c r="N340" s="12" t="str">
        <f>IFERROR(VLOOKUP(L340, [2]رواتب!B:S, 5, FALSE), "مش موجود")</f>
        <v>عراوي</v>
      </c>
      <c r="O340" s="13"/>
      <c r="P340" s="12"/>
      <c r="Q340" s="12">
        <f>_xlfn.XLOOKUP(L340, [1]رواتب!B:B, [1]رواتب!S:S, "")</f>
        <v>5000</v>
      </c>
      <c r="R340" s="14">
        <f t="shared" ca="1" si="3"/>
        <v>83933</v>
      </c>
    </row>
    <row r="341" spans="11:18" x14ac:dyDescent="0.25">
      <c r="K341" s="5">
        <v>335</v>
      </c>
      <c r="L341" s="6">
        <v>2726</v>
      </c>
      <c r="M341" s="6" t="str">
        <f>IFERROR(VLOOKUP(L341, [2]رواتب!B:S, 6, FALSE), "مش موجود")</f>
        <v>جهاد سليمان التميمي ابو سمرة</v>
      </c>
      <c r="N341" s="7" t="str">
        <f>IFERROR(VLOOKUP(L341, [2]رواتب!B:S, 5, FALSE), "مش موجود")</f>
        <v>نهائي</v>
      </c>
      <c r="O341" s="8"/>
      <c r="P341" s="7"/>
      <c r="Q341" s="7">
        <f>_xlfn.XLOOKUP(L341, [1]رواتب!B:B, [1]رواتب!S:S, "")</f>
        <v>4500</v>
      </c>
      <c r="R341" s="9">
        <f t="shared" ca="1" si="3"/>
        <v>77952</v>
      </c>
    </row>
    <row r="342" spans="11:18" x14ac:dyDescent="0.25">
      <c r="K342" s="10">
        <v>336</v>
      </c>
      <c r="L342" s="11">
        <v>3106</v>
      </c>
      <c r="M342" s="11" t="str">
        <f>IFERROR(VLOOKUP(L342, [2]رواتب!B:S, 6, FALSE), "مش موجود")</f>
        <v>منة الله السيد عبدالعال حلمي سليمان</v>
      </c>
      <c r="N342" s="12" t="str">
        <f>IFERROR(VLOOKUP(L342, [2]رواتب!B:S, 5, FALSE), "مش موجود")</f>
        <v>الجودة</v>
      </c>
      <c r="O342" s="13"/>
      <c r="P342" s="12"/>
      <c r="Q342" s="12">
        <f>_xlfn.XLOOKUP(L342, [1]رواتب!B:B, [1]رواتب!S:S, "")</f>
        <v>6600</v>
      </c>
      <c r="R342" s="14">
        <f t="shared" ca="1" si="3"/>
        <v>71249</v>
      </c>
    </row>
    <row r="343" spans="11:18" x14ac:dyDescent="0.25">
      <c r="K343" s="5">
        <v>337</v>
      </c>
      <c r="L343" s="6">
        <v>2447</v>
      </c>
      <c r="M343" s="6" t="str">
        <f>IFERROR(VLOOKUP(L343, [2]رواتب!B:S, 6, FALSE), "مش موجود")</f>
        <v>منه الله إبراهيم على احمد النجدي</v>
      </c>
      <c r="N343" s="7" t="str">
        <f>IFERROR(VLOOKUP(L343, [2]رواتب!B:S, 5, FALSE), "مش موجود")</f>
        <v>الجودة</v>
      </c>
      <c r="O343" s="8"/>
      <c r="P343" s="7"/>
      <c r="Q343" s="7">
        <f>_xlfn.XLOOKUP(L343, [1]رواتب!B:B, [1]رواتب!S:S, "")</f>
        <v>6600</v>
      </c>
      <c r="R343" s="9">
        <f t="shared" ref="R343:R356" ca="1" si="4">RANDBETWEEN(10000,99999)</f>
        <v>81702</v>
      </c>
    </row>
    <row r="344" spans="11:18" x14ac:dyDescent="0.25">
      <c r="K344" s="10">
        <v>338</v>
      </c>
      <c r="L344" s="11">
        <v>3256</v>
      </c>
      <c r="M344" s="11" t="str">
        <f>IFERROR(VLOOKUP(L344, [2]رواتب!B:S, 6, FALSE), "مش موجود")</f>
        <v>محمد عصام ابراهيم محمد</v>
      </c>
      <c r="N344" s="12" t="str">
        <f>IFERROR(VLOOKUP(L344, [2]رواتب!B:S, 5, FALSE), "مش موجود")</f>
        <v>الجودة</v>
      </c>
      <c r="O344" s="13"/>
      <c r="P344" s="12"/>
      <c r="Q344" s="12">
        <f>_xlfn.XLOOKUP(L344, [1]رواتب!B:B, [1]رواتب!S:S, "")</f>
        <v>4500</v>
      </c>
      <c r="R344" s="14">
        <f t="shared" ca="1" si="4"/>
        <v>72591</v>
      </c>
    </row>
    <row r="345" spans="11:18" x14ac:dyDescent="0.25">
      <c r="K345" s="5">
        <v>339</v>
      </c>
      <c r="L345" s="6">
        <v>1094</v>
      </c>
      <c r="M345" s="6" t="str">
        <f>IFERROR(VLOOKUP(L345, [2]رواتب!B:S, 6, FALSE), "مش موجود")</f>
        <v>علي السيد عباس</v>
      </c>
      <c r="N345" s="7" t="str">
        <f>IFERROR(VLOOKUP(L345, [2]رواتب!B:S, 5, FALSE), "مش موجود")</f>
        <v>خط الصدر 1</v>
      </c>
      <c r="O345" s="8"/>
      <c r="P345" s="7"/>
      <c r="Q345" s="7">
        <f>_xlfn.XLOOKUP(L345, [1]رواتب!B:B, [1]رواتب!S:S, "")</f>
        <v>8000</v>
      </c>
      <c r="R345" s="9">
        <f t="shared" ca="1" si="4"/>
        <v>76076</v>
      </c>
    </row>
    <row r="346" spans="11:18" x14ac:dyDescent="0.25">
      <c r="K346" s="10">
        <v>340</v>
      </c>
      <c r="L346" s="11">
        <v>3552</v>
      </c>
      <c r="M346" s="11" t="str">
        <f>IFERROR(VLOOKUP(L346, [2]رواتب!B:S, 6, FALSE), "مش موجود")</f>
        <v>محمد السيد ابو النور السيد الرفاعي</v>
      </c>
      <c r="N346" s="12" t="str">
        <f>IFERROR(VLOOKUP(L346, [2]رواتب!B:S, 5, FALSE), "مش موجود")</f>
        <v>الامن</v>
      </c>
      <c r="O346" s="13"/>
      <c r="P346" s="12"/>
      <c r="Q346" s="12">
        <f>_xlfn.XLOOKUP(L346, [1]رواتب!B:B, [1]رواتب!S:S, "")</f>
        <v>4500</v>
      </c>
      <c r="R346" s="14">
        <f t="shared" ca="1" si="4"/>
        <v>90139</v>
      </c>
    </row>
    <row r="347" spans="11:18" x14ac:dyDescent="0.25">
      <c r="K347" s="5">
        <v>341</v>
      </c>
      <c r="L347" s="6">
        <v>3271</v>
      </c>
      <c r="M347" s="6" t="str">
        <f>IFERROR(VLOOKUP(L347, [2]رواتب!B:S, 6, FALSE), "مش موجود")</f>
        <v>كريم نعيم حسن يوسف</v>
      </c>
      <c r="N347" s="7" t="str">
        <f>IFERROR(VLOOKUP(L347, [2]رواتب!B:S, 5, FALSE), "مش موجود")</f>
        <v>خط الصدر 2</v>
      </c>
      <c r="O347" s="8"/>
      <c r="P347" s="7"/>
      <c r="Q347" s="7">
        <f>_xlfn.XLOOKUP(L347, [1]رواتب!B:B, [1]رواتب!S:S, "")</f>
        <v>4500</v>
      </c>
      <c r="R347" s="9">
        <f t="shared" ca="1" si="4"/>
        <v>27105</v>
      </c>
    </row>
    <row r="348" spans="11:18" x14ac:dyDescent="0.25">
      <c r="K348" s="10">
        <v>342</v>
      </c>
      <c r="L348" s="11">
        <v>3270</v>
      </c>
      <c r="M348" s="11" t="str">
        <f>IFERROR(VLOOKUP(L348, [2]رواتب!B:S, 6, FALSE), "مش موجود")</f>
        <v>احمد يوسف حسن يوسف حسن</v>
      </c>
      <c r="N348" s="12" t="str">
        <f>IFERROR(VLOOKUP(L348, [2]رواتب!B:S, 5, FALSE), "مش موجود")</f>
        <v>خط الفنيش 3</v>
      </c>
      <c r="O348" s="13"/>
      <c r="P348" s="12"/>
      <c r="Q348" s="12">
        <f>_xlfn.XLOOKUP(L348, [1]رواتب!B:B, [1]رواتب!S:S, "")</f>
        <v>4500</v>
      </c>
      <c r="R348" s="14">
        <f t="shared" ca="1" si="4"/>
        <v>13378</v>
      </c>
    </row>
    <row r="349" spans="11:18" x14ac:dyDescent="0.25">
      <c r="K349" s="5">
        <v>343</v>
      </c>
      <c r="L349" s="6">
        <v>2355</v>
      </c>
      <c r="M349" s="6" t="str">
        <f>IFERROR(VLOOKUP(L349, [2]رواتب!B:S, 6, FALSE), "مش موجود")</f>
        <v>هناء محمد حسن علي حسن</v>
      </c>
      <c r="N349" s="7" t="str">
        <f>IFERROR(VLOOKUP(L349, [2]رواتب!B:S, 5, FALSE), "مش موجود")</f>
        <v>عراوي</v>
      </c>
      <c r="O349" s="8"/>
      <c r="P349" s="7"/>
      <c r="Q349" s="7">
        <f>_xlfn.XLOOKUP(L349, [1]رواتب!B:B, [1]رواتب!S:S, "")</f>
        <v>6000</v>
      </c>
      <c r="R349" s="9">
        <f t="shared" ca="1" si="4"/>
        <v>17707</v>
      </c>
    </row>
    <row r="350" spans="11:18" x14ac:dyDescent="0.25">
      <c r="K350" s="10">
        <v>344</v>
      </c>
      <c r="L350" s="11">
        <v>3570</v>
      </c>
      <c r="M350" s="11" t="str">
        <f>IFERROR(VLOOKUP(L350, [2]رواتب!B:S, 6, FALSE), "مش موجود")</f>
        <v>زياد محمد محمد محمد درغام</v>
      </c>
      <c r="N350" s="12" t="str">
        <f>IFERROR(VLOOKUP(L350, [2]رواتب!B:S, 5, FALSE), "مش موجود")</f>
        <v>خط الفنيش 1</v>
      </c>
      <c r="O350" s="13"/>
      <c r="P350" s="12"/>
      <c r="Q350" s="12">
        <f>_xlfn.XLOOKUP(L350, [1]رواتب!B:B, [1]رواتب!S:S, "")</f>
        <v>4000</v>
      </c>
      <c r="R350" s="14">
        <f t="shared" ca="1" si="4"/>
        <v>46768</v>
      </c>
    </row>
    <row r="351" spans="11:18" x14ac:dyDescent="0.25">
      <c r="K351" s="5">
        <v>345</v>
      </c>
      <c r="L351" s="6">
        <v>2507</v>
      </c>
      <c r="M351" s="6" t="str">
        <f>IFERROR(VLOOKUP(L351, [2]رواتب!B:S, 6, FALSE), "مش موجود")</f>
        <v>السيد العربي صالح صالح الشربيني</v>
      </c>
      <c r="N351" s="7" t="str">
        <f>IFERROR(VLOOKUP(L351, [2]رواتب!B:S, 5, FALSE), "مش موجود")</f>
        <v>الصيانة</v>
      </c>
      <c r="O351" s="8"/>
      <c r="P351" s="7"/>
      <c r="Q351" s="7">
        <f>_xlfn.XLOOKUP(L351, [1]رواتب!B:B, [1]رواتب!S:S, "")</f>
        <v>5500</v>
      </c>
      <c r="R351" s="9">
        <f t="shared" ca="1" si="4"/>
        <v>66174</v>
      </c>
    </row>
    <row r="352" spans="11:18" x14ac:dyDescent="0.25">
      <c r="K352" s="10">
        <v>346</v>
      </c>
      <c r="L352" s="11">
        <v>1050</v>
      </c>
      <c r="M352" s="11" t="str">
        <f>IFERROR(VLOOKUP(L352, [2]رواتب!B:S, 6, FALSE), "مش موجود")</f>
        <v>محمود فهيم على محمد محمد عامر</v>
      </c>
      <c r="N352" s="12" t="str">
        <f>IFERROR(VLOOKUP(L352, [2]رواتب!B:S, 5, FALSE), "مش موجود")</f>
        <v>نهائي</v>
      </c>
      <c r="O352" s="13"/>
      <c r="P352" s="12"/>
      <c r="Q352" s="12">
        <f>_xlfn.XLOOKUP(L352, [1]رواتب!B:B, [1]رواتب!S:S, "")</f>
        <v>8000</v>
      </c>
      <c r="R352" s="14">
        <f t="shared" ca="1" si="4"/>
        <v>93218</v>
      </c>
    </row>
    <row r="353" spans="11:18" x14ac:dyDescent="0.25">
      <c r="K353" s="5">
        <v>347</v>
      </c>
      <c r="L353" s="6">
        <v>3596</v>
      </c>
      <c r="M353" s="6" t="str">
        <f>IFERROR(VLOOKUP(L353, [2]رواتب!B:S, 6, FALSE), "مش موجود")</f>
        <v>مي ابراهيم محمد عبدالحليم الحديدي</v>
      </c>
      <c r="N353" s="7" t="str">
        <f>IFERROR(VLOOKUP(L353, [2]رواتب!B:S, 5, FALSE), "مش موجود")</f>
        <v>خط 4</v>
      </c>
      <c r="O353" s="8"/>
      <c r="P353" s="7"/>
      <c r="Q353" s="7">
        <f>_xlfn.XLOOKUP(L353, [1]رواتب!B:B, [1]رواتب!S:S, "")</f>
        <v>4500</v>
      </c>
      <c r="R353" s="9">
        <f t="shared" ca="1" si="4"/>
        <v>86286</v>
      </c>
    </row>
    <row r="354" spans="11:18" x14ac:dyDescent="0.25">
      <c r="K354" s="10">
        <v>348</v>
      </c>
      <c r="L354" s="11">
        <v>3576</v>
      </c>
      <c r="M354" s="11" t="str">
        <f>IFERROR(VLOOKUP(L354, [2]رواتب!B:S, 6, FALSE), "مش موجود")</f>
        <v>ريم ابراهيم السيد عرفات احمد</v>
      </c>
      <c r="N354" s="12" t="str">
        <f>IFERROR(VLOOKUP(L354, [2]رواتب!B:S, 5, FALSE), "مش موجود")</f>
        <v>التجهيز</v>
      </c>
      <c r="O354" s="13"/>
      <c r="P354" s="12"/>
      <c r="Q354" s="12">
        <f>_xlfn.XLOOKUP(L354, [1]رواتب!B:B, [1]رواتب!S:S, "")</f>
        <v>3500</v>
      </c>
      <c r="R354" s="14">
        <f t="shared" ca="1" si="4"/>
        <v>39102</v>
      </c>
    </row>
    <row r="355" spans="11:18" x14ac:dyDescent="0.25">
      <c r="K355" s="5">
        <v>349</v>
      </c>
      <c r="L355" s="6">
        <v>3597</v>
      </c>
      <c r="M355" s="6" t="str">
        <f>IFERROR(VLOOKUP(L355, [2]رواتب!B:S, 6, FALSE), "مش موجود")</f>
        <v>خالد احمد عبدالحميد عبدالحي</v>
      </c>
      <c r="N355" s="7" t="str">
        <f>IFERROR(VLOOKUP(L355, [2]رواتب!B:S, 5, FALSE), "مش موجود")</f>
        <v>نهائي</v>
      </c>
      <c r="O355" s="8"/>
      <c r="P355" s="7"/>
      <c r="Q355" s="7">
        <f>_xlfn.XLOOKUP(L355, [1]رواتب!B:B, [1]رواتب!S:S, "")</f>
        <v>6000</v>
      </c>
      <c r="R355" s="9">
        <f t="shared" ca="1" si="4"/>
        <v>37347</v>
      </c>
    </row>
    <row r="356" spans="11:18" x14ac:dyDescent="0.25">
      <c r="K356" s="10">
        <v>350</v>
      </c>
      <c r="L356" s="11">
        <v>3355</v>
      </c>
      <c r="M356" s="11" t="str">
        <f>IFERROR(VLOOKUP(L356, [2]رواتب!B:S, 6, FALSE), "مش موجود")</f>
        <v>حسين احمد احمد محمد حسن</v>
      </c>
      <c r="N356" s="12" t="str">
        <f>IFERROR(VLOOKUP(L356, [2]رواتب!B:S, 5, FALSE), "مش موجود")</f>
        <v>نهائي</v>
      </c>
      <c r="O356" s="13"/>
      <c r="P356" s="12"/>
      <c r="Q356" s="12">
        <f>_xlfn.XLOOKUP(L356, [1]رواتب!B:B, [1]رواتب!S:S, "")</f>
        <v>6000</v>
      </c>
      <c r="R356" s="14">
        <f t="shared" ca="1" si="4"/>
        <v>58487</v>
      </c>
    </row>
    <row r="357" spans="11:18" ht="15.75" thickBot="1" x14ac:dyDescent="0.3">
      <c r="K357" s="15">
        <v>351</v>
      </c>
      <c r="L357" s="16">
        <v>3005</v>
      </c>
      <c r="M357" s="16" t="str">
        <f>IFERROR(VLOOKUP(L357, [2]رواتب!B:S, 6, FALSE), "مش موجود")</f>
        <v>فارس احمد فاروق احمد لطفي</v>
      </c>
      <c r="N357" s="17" t="str">
        <f>IFERROR(VLOOKUP(L357, [2]رواتب!B:S, 5, FALSE), "مش موجود")</f>
        <v>عراوي</v>
      </c>
      <c r="O357" s="18"/>
      <c r="P357" s="17"/>
      <c r="Q357" s="17">
        <f>_xlfn.XLOOKUP(L357, [1]رواتب!B:B, [1]رواتب!S:S, "")</f>
        <v>6000</v>
      </c>
      <c r="R357" s="19">
        <f ca="1">RANDBETWEEN(10000,99999)</f>
        <v>27652</v>
      </c>
    </row>
  </sheetData>
  <phoneticPr fontId="4" type="noConversion"/>
  <conditionalFormatting sqref="R358:R1048576 R1:R356">
    <cfRule type="duplicateValues" dxfId="4" priority="3"/>
  </conditionalFormatting>
  <conditionalFormatting sqref="R357">
    <cfRule type="duplicateValues" dxfId="3" priority="2"/>
  </conditionalFormatting>
  <conditionalFormatting sqref="R1:R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TEX HR</dc:creator>
  <cp:lastModifiedBy>TECH TEX HR</cp:lastModifiedBy>
  <dcterms:created xsi:type="dcterms:W3CDTF">2015-06-05T18:17:20Z</dcterms:created>
  <dcterms:modified xsi:type="dcterms:W3CDTF">2026-04-11T09:56:04Z</dcterms:modified>
</cp:coreProperties>
</file>